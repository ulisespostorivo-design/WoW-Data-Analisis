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 tabRatio="597" firstSheet="8" activeTab="8"/>
  </bookViews>
  <sheets>
    <sheet name="r_recoleccion" sheetId="1" r:id="rId1"/>
    <sheet name="d_tipo_recoleccion" sheetId="27" r:id="rId2"/>
    <sheet name="r_consumos_objectos" sheetId="4" r:id="rId3"/>
    <sheet name="d_id_objectos" sheetId="2" r:id="rId4"/>
    <sheet name="r_gasto" sheetId="24" r:id="rId5"/>
    <sheet name="r_registro_poblacion" sheetId="5" r:id="rId6"/>
    <sheet name="r_prospeccion_lotes" sheetId="6" r:id="rId7"/>
    <sheet name="r_prospeccion_resultados" sheetId="7" r:id="rId8"/>
    <sheet name="r_gemas_pulidas" sheetId="8" r:id="rId9"/>
    <sheet name="d_gemas_atributos" sheetId="9" r:id="rId10"/>
    <sheet name="r_consumo_lotes" sheetId="26" r:id="rId11"/>
    <sheet name="r_venta_gemas" sheetId="10" r:id="rId12"/>
    <sheet name="d_venta_estado" sheetId="15" r:id="rId13"/>
    <sheet name="d_venta_metodo" sheetId="16" r:id="rId14"/>
    <sheet name="d_gema_valor" sheetId="11" r:id="rId15"/>
    <sheet name="r_valor_subasta" sheetId="17" r:id="rId16"/>
    <sheet name="d_deposito" sheetId="13" r:id="rId17"/>
    <sheet name="d_correo" sheetId="14" r:id="rId18"/>
    <sheet name="d_convertibilidad" sheetId="12" r:id="rId19"/>
    <sheet name="d_recetas_id" sheetId="20" r:id="rId20"/>
    <sheet name="d_recetas_materiales" sheetId="19" r:id="rId21"/>
    <sheet name="r_recetas_consumo" sheetId="21" r:id="rId22"/>
    <sheet name="d_categoria_producto" sheetId="22" r:id="rId23"/>
    <sheet name="r_transmutaciones" sheetId="29" r:id="rId24"/>
    <sheet name="r_transmutaciones_resultados" sheetId="30" r:id="rId25"/>
  </sheets>
  <calcPr calcId="152511"/>
</workbook>
</file>

<file path=xl/calcChain.xml><?xml version="1.0" encoding="utf-8"?>
<calcChain xmlns="http://schemas.openxmlformats.org/spreadsheetml/2006/main">
  <c r="F113" i="10" l="1"/>
  <c r="I113" i="10" s="1"/>
  <c r="F114" i="10"/>
  <c r="I114" i="10" s="1"/>
  <c r="F111" i="10" l="1"/>
  <c r="I111" i="10" s="1"/>
  <c r="F112" i="10"/>
  <c r="I112" i="10" s="1"/>
  <c r="F109" i="10" l="1"/>
  <c r="F110" i="10"/>
  <c r="I109" i="10"/>
  <c r="I110" i="10"/>
  <c r="F104" i="10"/>
  <c r="I104" i="10" s="1"/>
  <c r="F105" i="10"/>
  <c r="I105" i="10" s="1"/>
  <c r="F106" i="10"/>
  <c r="I106" i="10" s="1"/>
  <c r="F107" i="10"/>
  <c r="I107" i="10" s="1"/>
  <c r="F108" i="10"/>
  <c r="I108" i="10" s="1"/>
  <c r="I94" i="10" l="1"/>
  <c r="I95" i="10"/>
  <c r="I97" i="10"/>
  <c r="F103" i="10"/>
  <c r="I103" i="10" s="1"/>
  <c r="F102" i="10"/>
  <c r="I102" i="10" s="1"/>
  <c r="F101" i="10"/>
  <c r="I101" i="10" s="1"/>
  <c r="F100" i="10"/>
  <c r="I100" i="10" s="1"/>
  <c r="F99" i="10"/>
  <c r="I99" i="10" s="1"/>
  <c r="F98" i="10"/>
  <c r="I98" i="10" s="1"/>
  <c r="F97" i="10"/>
  <c r="F96" i="10"/>
  <c r="I96" i="10" s="1"/>
  <c r="F95" i="10"/>
  <c r="F94" i="10"/>
  <c r="F93" i="10"/>
  <c r="I93" i="10" s="1"/>
  <c r="F92" i="10"/>
  <c r="I92" i="10" s="1"/>
  <c r="F90" i="10" l="1"/>
  <c r="I90" i="10" s="1"/>
  <c r="F91" i="10"/>
  <c r="I91" i="10" s="1"/>
  <c r="F79" i="10"/>
  <c r="F80" i="10"/>
  <c r="F81" i="10"/>
  <c r="F82" i="10"/>
  <c r="I82" i="10" s="1"/>
  <c r="F83" i="10"/>
  <c r="F84" i="10"/>
  <c r="I84" i="10" s="1"/>
  <c r="F85" i="10"/>
  <c r="F86" i="10"/>
  <c r="F87" i="10"/>
  <c r="F88" i="10"/>
  <c r="I88" i="10" s="1"/>
  <c r="F89" i="10"/>
  <c r="I89" i="10" s="1"/>
  <c r="I79" i="10"/>
  <c r="I80" i="10"/>
  <c r="I81" i="10"/>
  <c r="I83" i="10"/>
  <c r="I85" i="10"/>
  <c r="I86" i="10"/>
  <c r="I87" i="10"/>
  <c r="F78" i="10" l="1"/>
  <c r="I78" i="10" s="1"/>
  <c r="F76" i="10"/>
  <c r="I76" i="10" s="1"/>
  <c r="F75" i="10"/>
  <c r="I75" i="10" s="1"/>
  <c r="F74" i="10"/>
  <c r="I74" i="10" s="1"/>
  <c r="F73" i="10"/>
  <c r="I73" i="10" s="1"/>
  <c r="F72" i="10"/>
  <c r="I72" i="10" s="1"/>
  <c r="F71" i="10"/>
  <c r="I71" i="10" s="1"/>
  <c r="F77" i="10"/>
  <c r="I77" i="10" s="1"/>
  <c r="F70" i="10"/>
  <c r="I70" i="10" s="1"/>
  <c r="F69" i="10"/>
  <c r="I69" i="10" s="1"/>
  <c r="F68" i="10"/>
  <c r="I68" i="10" s="1"/>
  <c r="F67" i="10"/>
  <c r="I67" i="10" s="1"/>
  <c r="F66" i="10"/>
  <c r="I66" i="10" s="1"/>
  <c r="F65" i="10"/>
  <c r="I65" i="10" s="1"/>
  <c r="F64" i="10"/>
  <c r="I64" i="10" s="1"/>
  <c r="F63" i="10"/>
  <c r="I63" i="10" s="1"/>
  <c r="F62" i="10"/>
  <c r="I62" i="10" s="1"/>
  <c r="F61" i="10" l="1"/>
  <c r="I61" i="10" s="1"/>
  <c r="F60" i="10"/>
  <c r="I60" i="10" s="1"/>
  <c r="F59" i="10"/>
  <c r="I59" i="10" s="1"/>
  <c r="F58" i="10"/>
  <c r="I58" i="10" s="1"/>
  <c r="F57" i="10"/>
  <c r="I57" i="10" s="1"/>
  <c r="F56" i="10"/>
  <c r="I56" i="10" s="1"/>
  <c r="F55" i="10"/>
  <c r="I55" i="10" s="1"/>
  <c r="F54" i="10"/>
  <c r="I54" i="10" s="1"/>
  <c r="F53" i="10"/>
  <c r="I53" i="10" s="1"/>
  <c r="F52" i="10"/>
  <c r="I52" i="10" s="1"/>
  <c r="F51" i="10"/>
  <c r="I51" i="10" s="1"/>
  <c r="F50" i="10"/>
  <c r="I50" i="10" s="1"/>
  <c r="F49" i="10"/>
  <c r="I49" i="10" s="1"/>
  <c r="F48" i="10"/>
  <c r="I48" i="10" s="1"/>
  <c r="F47" i="10"/>
  <c r="I47" i="10" s="1"/>
  <c r="F46" i="10"/>
  <c r="I46" i="10" s="1"/>
  <c r="F2" i="10" l="1"/>
  <c r="F26" i="10" l="1"/>
  <c r="I26" i="10" s="1"/>
  <c r="F27" i="10"/>
  <c r="I27" i="10" s="1"/>
  <c r="F28" i="10"/>
  <c r="I28" i="10" s="1"/>
  <c r="F29" i="10"/>
  <c r="I29" i="10" s="1"/>
  <c r="F30" i="10"/>
  <c r="I30" i="10" s="1"/>
  <c r="F31" i="10"/>
  <c r="I31" i="10" s="1"/>
  <c r="F32" i="10"/>
  <c r="I32" i="10" s="1"/>
  <c r="F33" i="10"/>
  <c r="I33" i="10" s="1"/>
  <c r="F34" i="10"/>
  <c r="I34" i="10" s="1"/>
  <c r="F35" i="10"/>
  <c r="I35" i="10" s="1"/>
  <c r="F36" i="10"/>
  <c r="I36" i="10" s="1"/>
  <c r="F37" i="10"/>
  <c r="F38" i="10"/>
  <c r="I38" i="10" s="1"/>
  <c r="F39" i="10"/>
  <c r="I39" i="10" s="1"/>
  <c r="F40" i="10"/>
  <c r="I40" i="10" s="1"/>
  <c r="F41" i="10"/>
  <c r="I41" i="10" s="1"/>
  <c r="F42" i="10"/>
  <c r="I42" i="10" s="1"/>
  <c r="F43" i="10"/>
  <c r="I43" i="10" s="1"/>
  <c r="F44" i="10"/>
  <c r="I44" i="10" s="1"/>
  <c r="F45" i="10"/>
  <c r="I45" i="10" s="1"/>
  <c r="I37" i="10"/>
  <c r="I2" i="10" l="1"/>
  <c r="I6" i="10"/>
  <c r="I7" i="10"/>
  <c r="I8" i="10"/>
  <c r="F24" i="10" l="1"/>
  <c r="I24" i="10" s="1"/>
  <c r="F25" i="10"/>
  <c r="I25" i="10" s="1"/>
  <c r="F20" i="10"/>
  <c r="I20" i="10" s="1"/>
  <c r="F21" i="10"/>
  <c r="I21" i="10" s="1"/>
  <c r="F22" i="10"/>
  <c r="I22" i="10" s="1"/>
  <c r="F23" i="10"/>
  <c r="I23" i="10" s="1"/>
  <c r="F3" i="10" l="1"/>
  <c r="I3" i="10" s="1"/>
  <c r="F4" i="10"/>
  <c r="I4" i="10" s="1"/>
  <c r="F5" i="10"/>
  <c r="I5" i="10" s="1"/>
  <c r="F6" i="10"/>
  <c r="F7" i="10"/>
  <c r="F8" i="10"/>
  <c r="F9" i="10"/>
  <c r="I9" i="10" s="1"/>
  <c r="F10" i="10"/>
  <c r="I10" i="10" s="1"/>
  <c r="F11" i="10"/>
  <c r="I11" i="10" s="1"/>
  <c r="F12" i="10"/>
  <c r="I12" i="10" s="1"/>
  <c r="F13" i="10"/>
  <c r="I13" i="10" s="1"/>
  <c r="F14" i="10"/>
  <c r="I14" i="10" s="1"/>
  <c r="F15" i="10"/>
  <c r="I15" i="10" s="1"/>
  <c r="F16" i="10"/>
  <c r="I16" i="10" s="1"/>
  <c r="F17" i="10"/>
  <c r="I17" i="10" s="1"/>
  <c r="F18" i="10"/>
  <c r="I18" i="10" s="1"/>
  <c r="F19" i="10"/>
  <c r="I19" i="10" s="1"/>
</calcChain>
</file>

<file path=xl/sharedStrings.xml><?xml version="1.0" encoding="utf-8"?>
<sst xmlns="http://schemas.openxmlformats.org/spreadsheetml/2006/main" count="2588" uniqueCount="348">
  <si>
    <t>cargado_sql</t>
  </si>
  <si>
    <t>hora_inicio</t>
  </si>
  <si>
    <t>hora_fin</t>
  </si>
  <si>
    <t>tipo_recoleccion</t>
  </si>
  <si>
    <t>mineral</t>
  </si>
  <si>
    <t>gema</t>
  </si>
  <si>
    <t>elemental</t>
  </si>
  <si>
    <t>oro</t>
  </si>
  <si>
    <t>lingote</t>
  </si>
  <si>
    <t>eterno</t>
  </si>
  <si>
    <t>fabricacion</t>
  </si>
  <si>
    <t>dinero</t>
  </si>
  <si>
    <t>cobre</t>
  </si>
  <si>
    <t>plata</t>
  </si>
  <si>
    <t>fecha_recoleccion</t>
  </si>
  <si>
    <t>cantidad_recoleccion</t>
  </si>
  <si>
    <t>fecha_poblacion</t>
  </si>
  <si>
    <t>hora_poblacion</t>
  </si>
  <si>
    <t>total_poblacion</t>
  </si>
  <si>
    <t>mision</t>
  </si>
  <si>
    <t>calidad_gema_valor</t>
  </si>
  <si>
    <t>comun</t>
  </si>
  <si>
    <t>rara</t>
  </si>
  <si>
    <t>epica</t>
  </si>
  <si>
    <t>meta</t>
  </si>
  <si>
    <t>precio_valor_cobre</t>
  </si>
  <si>
    <t>tiempo_deposito</t>
  </si>
  <si>
    <t>comision</t>
  </si>
  <si>
    <t>subasta</t>
  </si>
  <si>
    <t>vendido</t>
  </si>
  <si>
    <t>expirado</t>
  </si>
  <si>
    <t>cancelado</t>
  </si>
  <si>
    <t>pendiente</t>
  </si>
  <si>
    <t>servicio</t>
  </si>
  <si>
    <t>orden_venta_gemas</t>
  </si>
  <si>
    <t>anillo</t>
  </si>
  <si>
    <t>collar</t>
  </si>
  <si>
    <t>abalorio</t>
  </si>
  <si>
    <t>sortija de sangrita</t>
  </si>
  <si>
    <t>anillo de poder de sombra</t>
  </si>
  <si>
    <t>mineria</t>
  </si>
  <si>
    <t>botin</t>
  </si>
  <si>
    <t>categoria_recoleccion</t>
  </si>
  <si>
    <t>metodo_venta_gemas</t>
  </si>
  <si>
    <t>montura</t>
  </si>
  <si>
    <t>orden_gasto</t>
  </si>
  <si>
    <t>gasto_id</t>
  </si>
  <si>
    <t>gasto_cantidad</t>
  </si>
  <si>
    <t>gasto_precio</t>
  </si>
  <si>
    <t>diamante de llama celeste</t>
  </si>
  <si>
    <t>diamante de asedio de tierra</t>
  </si>
  <si>
    <t>nada</t>
  </si>
  <si>
    <t>fuerza</t>
  </si>
  <si>
    <t>agilidad</t>
  </si>
  <si>
    <t>aguante</t>
  </si>
  <si>
    <t>intelecto</t>
  </si>
  <si>
    <t>poder con hechizos</t>
  </si>
  <si>
    <t>poder de ataque</t>
  </si>
  <si>
    <t>valor de bloqueo de escudo</t>
  </si>
  <si>
    <t>+25 poder con hechizos y 2% menos amenaza</t>
  </si>
  <si>
    <t>+25 poder con hechizos y +2% intelecto</t>
  </si>
  <si>
    <t>+21 defensa y +5% valor de bloqueo</t>
  </si>
  <si>
    <t>+42 poder de ataque y velocidad de movimiento menor aumentada</t>
  </si>
  <si>
    <t>+34 poder de ataque y velocidad de movimiento menor aumentada</t>
  </si>
  <si>
    <t>+25 poder con hechizos y velocidad de movimiento menor aumentada</t>
  </si>
  <si>
    <t>+20 poder con hechizos y velocidad de movimiento menor aumentada</t>
  </si>
  <si>
    <t>propiedades</t>
  </si>
  <si>
    <t>diamante de asedio de tierra austero</t>
  </si>
  <si>
    <t>diamante de asedio de tierra radiante</t>
  </si>
  <si>
    <t>diamante de asedio de tierra protector</t>
  </si>
  <si>
    <t>diamante de resplandor celeste destructivo</t>
  </si>
  <si>
    <t>diamante de resplandor celeste escudado</t>
  </si>
  <si>
    <t>diamante de resplandor celeste de ascuas</t>
  </si>
  <si>
    <t>diamante de asedio de tierra eterno</t>
  </si>
  <si>
    <t>diamante de resplandor celeste desolado</t>
  </si>
  <si>
    <t>diamante de resplandor estelar desolado</t>
  </si>
  <si>
    <t>diamante de resplandor celeste impasible</t>
  </si>
  <si>
    <t>diamante de resplandor estelar impasible</t>
  </si>
  <si>
    <t>diamante de asedio de tierra perspicaz</t>
  </si>
  <si>
    <t>diamante de asedio de tierra vigorizante</t>
  </si>
  <si>
    <t>diamante de machacatierra persistente</t>
  </si>
  <si>
    <t>diamante de asedio de tierra persistente</t>
  </si>
  <si>
    <t>diamante de machacatierra poderoso</t>
  </si>
  <si>
    <t>diamante de asedio de tierra poderoso</t>
  </si>
  <si>
    <t>diamante de asedio de tierra implacable</t>
  </si>
  <si>
    <t>diamante de resplandor celeste revitalizante</t>
  </si>
  <si>
    <t>diamante de resplandor celeste veloz</t>
  </si>
  <si>
    <t>diamante de resplandor estelar veloz</t>
  </si>
  <si>
    <t>diamante de resplandor celeste atronador</t>
  </si>
  <si>
    <t>diamante de resplandor celeste incansable</t>
  </si>
  <si>
    <t>diamante de resplandor estelar incansable</t>
  </si>
  <si>
    <t>diamante de machacatierra penetrante</t>
  </si>
  <si>
    <t>diamante de asedio de tierra penetrante</t>
  </si>
  <si>
    <t>+32 aguante y 2% mas armadura de objetos</t>
  </si>
  <si>
    <t>+21 indice de golpe critico y +2% mana</t>
  </si>
  <si>
    <t>+21 indice de golpe critico y 3% mas dano critico</t>
  </si>
  <si>
    <t>+25 indice de golpe critico y 1% reflejo de hechizos</t>
  </si>
  <si>
    <t>+32 aguante y 2% menos dano magico recibido</t>
  </si>
  <si>
    <t>+21 indice de golpe critico y 10% menos duracion de raices/lentitud</t>
  </si>
  <si>
    <t>+17 indice de golpe critico y 10% menos duracion de raices/lentitud</t>
  </si>
  <si>
    <t>+25 poder con hechizos y 10% menos duracion de silencio</t>
  </si>
  <si>
    <t>+20 poder con hechizos y 10% menos duracion de silencio</t>
  </si>
  <si>
    <t>+21 indice de golpe critico y 10% menos duracion de miedo</t>
  </si>
  <si>
    <t>+17 indice de golpe critico y 10% menos duracion de miedo</t>
  </si>
  <si>
    <t>+21 intelecto y probabilidad de restaurar mana al lanzar hechizos</t>
  </si>
  <si>
    <t>+42 poder de ataque y posibilidad de curarte en criticos</t>
  </si>
  <si>
    <t>+34 poder de ataque y 10% menos duracion de stun</t>
  </si>
  <si>
    <t>+42 poder de ataque y 10% menos duracion de stun</t>
  </si>
  <si>
    <t>+26 aguante y 10% menos duracion de stun</t>
  </si>
  <si>
    <t>+32 aguante y 10% menos duracion de stun</t>
  </si>
  <si>
    <t>+21 agilidad y 3% mas dano critico</t>
  </si>
  <si>
    <t>+11 mana cada 5 s y 3% mas sanacion critica</t>
  </si>
  <si>
    <t>probabilidad de aumentar velocidad de ataque cuerpo a cuerpo/distancia</t>
  </si>
  <si>
    <t>+20 poder con hechizos y 10% menos duracion de stun</t>
  </si>
  <si>
    <t>+25 poder con hechizos y 10% menos duracion de stun</t>
  </si>
  <si>
    <t>diamante de resplandor celeste caotico</t>
  </si>
  <si>
    <t>diamante de resplandor celeste enigmatico</t>
  </si>
  <si>
    <t>diamante de resplandor estelar enigmatico</t>
  </si>
  <si>
    <t>espiritu</t>
  </si>
  <si>
    <t>indice de golpe critico</t>
  </si>
  <si>
    <t>indice de celeridad</t>
  </si>
  <si>
    <t>indice de penetracion de armadura</t>
  </si>
  <si>
    <t>indice de golpe</t>
  </si>
  <si>
    <t>indice de pericia</t>
  </si>
  <si>
    <t>indice de defensa</t>
  </si>
  <si>
    <t>indice de esquive</t>
  </si>
  <si>
    <t>indice de parada</t>
  </si>
  <si>
    <t>indice de temple</t>
  </si>
  <si>
    <t>penetracion de hechizos</t>
  </si>
  <si>
    <t>mana por 5 segundos mp5</t>
  </si>
  <si>
    <t>indice de bloqueo con escudo</t>
  </si>
  <si>
    <t>% dano critico aumentado</t>
  </si>
  <si>
    <t>% efecto de sanacion aumentado</t>
  </si>
  <si>
    <t>% reduccion de duracion de aturdimiento</t>
  </si>
  <si>
    <t>% reduccion de duracion de polimorfia</t>
  </si>
  <si>
    <t>velocidad de movimiento aumentada</t>
  </si>
  <si>
    <t>resistencia a la magia</t>
  </si>
  <si>
    <t>orbe</t>
  </si>
  <si>
    <t>prisma helado</t>
  </si>
  <si>
    <t>joyeria</t>
  </si>
  <si>
    <t>regalo</t>
  </si>
  <si>
    <t>cangrejo monarca</t>
  </si>
  <si>
    <t>collar danado</t>
  </si>
  <si>
    <t>ojo de dragon</t>
  </si>
  <si>
    <t>vida cristalizada</t>
  </si>
  <si>
    <t>vida eterna</t>
  </si>
  <si>
    <t>receta</t>
  </si>
  <si>
    <t>poblacion_80</t>
  </si>
  <si>
    <t>blindaje de titanio</t>
  </si>
  <si>
    <t>mejora</t>
  </si>
  <si>
    <t>orden_recoleccion</t>
  </si>
  <si>
    <t>fecha_venta_gemas</t>
  </si>
  <si>
    <t>id_tipo_recoleccion</t>
  </si>
  <si>
    <t>metodo_recoleccion</t>
  </si>
  <si>
    <t>pasivo</t>
  </si>
  <si>
    <t>activo</t>
  </si>
  <si>
    <t>Prisma helado</t>
  </si>
  <si>
    <t>contenedor</t>
  </si>
  <si>
    <t>id_categoria_producto</t>
  </si>
  <si>
    <t>31/05/2026</t>
  </si>
  <si>
    <t>14:40:32</t>
  </si>
  <si>
    <t>01/06/2026</t>
  </si>
  <si>
    <t>01:28:52</t>
  </si>
  <si>
    <t>10:16:33</t>
  </si>
  <si>
    <t>17:34:15</t>
  </si>
  <si>
    <t>02/06/2026</t>
  </si>
  <si>
    <t>02:24:29</t>
  </si>
  <si>
    <t>02:24:30</t>
  </si>
  <si>
    <t>orden_valor_subasta</t>
  </si>
  <si>
    <t>fecha_valor_subasta</t>
  </si>
  <si>
    <t>hora_valor_subasta</t>
  </si>
  <si>
    <t>22:15:14</t>
  </si>
  <si>
    <t>03/06/2026</t>
  </si>
  <si>
    <t>12:44:36</t>
  </si>
  <si>
    <t>22:00:27</t>
  </si>
  <si>
    <t>04/06/2026</t>
  </si>
  <si>
    <t>08:30:35</t>
  </si>
  <si>
    <t>id_objectos</t>
  </si>
  <si>
    <t>nombre_objectos</t>
  </si>
  <si>
    <t>mena de cobalto</t>
  </si>
  <si>
    <t>mena de saronita</t>
  </si>
  <si>
    <t>muestra de joyero</t>
  </si>
  <si>
    <t>aire eterno</t>
  </si>
  <si>
    <t>fuego eterno</t>
  </si>
  <si>
    <t>sombra eterna</t>
  </si>
  <si>
    <t>agua eterna</t>
  </si>
  <si>
    <t>mena de titanio</t>
  </si>
  <si>
    <t>tierra cristalizada</t>
  </si>
  <si>
    <t>agua cristalizada</t>
  </si>
  <si>
    <t>sombra cristalizada</t>
  </si>
  <si>
    <t>fuego cristalizado</t>
  </si>
  <si>
    <t>aire cristalizado</t>
  </si>
  <si>
    <t>gema roja</t>
  </si>
  <si>
    <t>gema roja rara</t>
  </si>
  <si>
    <t>gema roja epica</t>
  </si>
  <si>
    <t>gema azul</t>
  </si>
  <si>
    <t>gema azul rara</t>
  </si>
  <si>
    <t>gema azul epica</t>
  </si>
  <si>
    <t>gema amarilla</t>
  </si>
  <si>
    <t>gema amarilla rara</t>
  </si>
  <si>
    <t>gema amarilla epica</t>
  </si>
  <si>
    <t>gema morada</t>
  </si>
  <si>
    <t>gema morada rara</t>
  </si>
  <si>
    <t>gema morada epica</t>
  </si>
  <si>
    <t>gema naranja</t>
  </si>
  <si>
    <t>gema naranja rara</t>
  </si>
  <si>
    <t>gema naranja epica</t>
  </si>
  <si>
    <t>gema verde</t>
  </si>
  <si>
    <t>gema verde rara</t>
  </si>
  <si>
    <t>gema verde epica</t>
  </si>
  <si>
    <t>orbe congelado</t>
  </si>
  <si>
    <t>lingote cobalto</t>
  </si>
  <si>
    <t>lingote saronita</t>
  </si>
  <si>
    <t>lingote titanio</t>
  </si>
  <si>
    <t>tierra eterna</t>
  </si>
  <si>
    <t>Categoria_objectos</t>
  </si>
  <si>
    <t>id_gemas_atributos</t>
  </si>
  <si>
    <t>gemas_atributos</t>
  </si>
  <si>
    <t>nombre_gemas_atributos</t>
  </si>
  <si>
    <t>id_venta_estado</t>
  </si>
  <si>
    <t>venta_estado</t>
  </si>
  <si>
    <t>id_venta_metodo</t>
  </si>
  <si>
    <t>venta_metodo</t>
  </si>
  <si>
    <t>id_gema_valor</t>
  </si>
  <si>
    <t>porcentaje_deposito</t>
  </si>
  <si>
    <t>id_correo</t>
  </si>
  <si>
    <t>convertibilidad_moneda</t>
  </si>
  <si>
    <t>convertibilidad_valor_cobre</t>
  </si>
  <si>
    <t>recetas_nombre</t>
  </si>
  <si>
    <t>categoria_recetas_id</t>
  </si>
  <si>
    <t>id_recetas_materiales</t>
  </si>
  <si>
    <t>id_recetas</t>
  </si>
  <si>
    <t>categoria_producto_nombre</t>
  </si>
  <si>
    <t>cantidad_recetas_materiales</t>
  </si>
  <si>
    <t>id_objectos_receta_materiales</t>
  </si>
  <si>
    <t>16:53:04</t>
  </si>
  <si>
    <t>id_objecto_recoleccion</t>
  </si>
  <si>
    <t>05/06/2026</t>
  </si>
  <si>
    <t>03:34:20</t>
  </si>
  <si>
    <t>11:37:04</t>
  </si>
  <si>
    <t>id_consumos_objectos</t>
  </si>
  <si>
    <t>consumos_objectos_cantidad</t>
  </si>
  <si>
    <t>obtengo_consumos_objectos_id</t>
  </si>
  <si>
    <t>obtengo_consumos_objectos_cantidad</t>
  </si>
  <si>
    <t>fecha_consumos_objectos</t>
  </si>
  <si>
    <t>categoria_consumos_objectos</t>
  </si>
  <si>
    <t>orden_consumos_objectos</t>
  </si>
  <si>
    <t>gasto_fecha</t>
  </si>
  <si>
    <t>orden_poblacion</t>
  </si>
  <si>
    <t>orden_prospeccion_lotes</t>
  </si>
  <si>
    <t>id_mineral_prospeccion_lotes</t>
  </si>
  <si>
    <t>cantidad_menas_prospeccion_lotes</t>
  </si>
  <si>
    <t>fecha_prospeccion_lotes</t>
  </si>
  <si>
    <t>orden_prospeccion_resultados</t>
  </si>
  <si>
    <t>id_gema_prospeccion_resultados</t>
  </si>
  <si>
    <t>cantidad_prospeccion_resultados</t>
  </si>
  <si>
    <t>lote_prospeccion_resultados</t>
  </si>
  <si>
    <t>orden_gemas_pulidas</t>
  </si>
  <si>
    <t>id_gemas_pulidas</t>
  </si>
  <si>
    <t>cantidad_gemas_pulidas</t>
  </si>
  <si>
    <t>fecha_gemas_pulidas</t>
  </si>
  <si>
    <t>orden_consumo_lotes</t>
  </si>
  <si>
    <t>id_consumo_lotes</t>
  </si>
  <si>
    <t>cantidad_consumo_lotes</t>
  </si>
  <si>
    <t>fecha_consumo_lotes</t>
  </si>
  <si>
    <t>id_valor_venta_gemas</t>
  </si>
  <si>
    <t>tiempo_venta_gemas</t>
  </si>
  <si>
    <t>precio_deposito_venta_gemas</t>
  </si>
  <si>
    <t>estado_venta_gemas</t>
  </si>
  <si>
    <t>resultado_venta_gemas</t>
  </si>
  <si>
    <t>hora_venta_gemas</t>
  </si>
  <si>
    <t>valor_venta_gemas</t>
  </si>
  <si>
    <t>orden_pulida_venta_gemas</t>
  </si>
  <si>
    <t>precio_valor_subasta</t>
  </si>
  <si>
    <t>id_objecto_valor_subasta</t>
  </si>
  <si>
    <t>orden_recetas_consumo</t>
  </si>
  <si>
    <t>id_recetas_consumo</t>
  </si>
  <si>
    <t>cantidad_recetas_consumo</t>
  </si>
  <si>
    <t>fecha_recetas_consumo</t>
  </si>
  <si>
    <t>orden_transmutaciones</t>
  </si>
  <si>
    <t>receta_transmutaciones</t>
  </si>
  <si>
    <t>cantidad_transmutaciones</t>
  </si>
  <si>
    <t>fecha_transmutaciones</t>
  </si>
  <si>
    <t>orden_transmutaciones_resultados</t>
  </si>
  <si>
    <t>orden_transmutacion</t>
  </si>
  <si>
    <t>obtengo_objecto_transmutaciones_resultados</t>
  </si>
  <si>
    <t>obtengo_cantidad_transmutaciones_resultados</t>
  </si>
  <si>
    <t>transmutacion</t>
  </si>
  <si>
    <t>06/06/2026</t>
  </si>
  <si>
    <t>15:27:54</t>
  </si>
  <si>
    <t>07/06/2026</t>
  </si>
  <si>
    <t>11:57:11</t>
  </si>
  <si>
    <t>22:54:55</t>
  </si>
  <si>
    <t>08/06/2026</t>
  </si>
  <si>
    <t>12:27:17</t>
  </si>
  <si>
    <t>21:42:24</t>
  </si>
  <si>
    <t>09/06/2026</t>
  </si>
  <si>
    <t>09:32:00</t>
  </si>
  <si>
    <t>19:48:56</t>
  </si>
  <si>
    <t>10/06/2026</t>
  </si>
  <si>
    <t>09:58:59</t>
  </si>
  <si>
    <t>16:32:43</t>
  </si>
  <si>
    <t>23:02:00</t>
  </si>
  <si>
    <t>titanio</t>
  </si>
  <si>
    <t>rubi cardeno</t>
  </si>
  <si>
    <t>ametrino</t>
  </si>
  <si>
    <t>piedra de terror</t>
  </si>
  <si>
    <t>ojo de zul</t>
  </si>
  <si>
    <t>ambar del rey</t>
  </si>
  <si>
    <t>circon majestuoso</t>
  </si>
  <si>
    <t>trebol de oro</t>
  </si>
  <si>
    <t>ortiga mortal</t>
  </si>
  <si>
    <t>lirio atigrado</t>
  </si>
  <si>
    <t>rosa de talandra</t>
  </si>
  <si>
    <t>lengua de viboris</t>
  </si>
  <si>
    <t>espina de hielo</t>
  </si>
  <si>
    <t>flor exanime</t>
  </si>
  <si>
    <t>loto de escarcha</t>
  </si>
  <si>
    <t>planta</t>
  </si>
  <si>
    <t>11/06/2026</t>
  </si>
  <si>
    <t>07:01:09</t>
  </si>
  <si>
    <t>19:59:11</t>
  </si>
  <si>
    <t>12/06/2026</t>
  </si>
  <si>
    <t>08:54:34</t>
  </si>
  <si>
    <t>13/06/2026</t>
  </si>
  <si>
    <t>03:07:28</t>
  </si>
  <si>
    <t>13:27:43</t>
  </si>
  <si>
    <t>22:18:56</t>
  </si>
  <si>
    <t>14/06/2026</t>
  </si>
  <si>
    <t>12:20:22</t>
  </si>
  <si>
    <t>20:51:45</t>
  </si>
  <si>
    <t>15/06/2026</t>
  </si>
  <si>
    <t>11:10:21</t>
  </si>
  <si>
    <t>19:00:25</t>
  </si>
  <si>
    <t>16/06/2026</t>
  </si>
  <si>
    <t>00:32:03</t>
  </si>
  <si>
    <t>09:54:18</t>
  </si>
  <si>
    <t>17:18:09</t>
  </si>
  <si>
    <t>22:10:06</t>
  </si>
  <si>
    <t>17/06/2026</t>
  </si>
  <si>
    <t>12:10:56</t>
  </si>
  <si>
    <t>19:28:33</t>
  </si>
  <si>
    <t>22:53:19</t>
  </si>
  <si>
    <t>18/06/2026</t>
  </si>
  <si>
    <t>11:47:42</t>
  </si>
  <si>
    <t>anillo de guardian de tierra de titanio</t>
  </si>
  <si>
    <t>atributos_1_gemas_pulidas</t>
  </si>
  <si>
    <t>atributos_2_gemas_pulidas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</si>
</sst>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-0.249977111117893"/>
        <bgColor theme="8" tint="-0.24997711111789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0" xfId="0" applyNumberFormat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0" borderId="0" xfId="0" applyNumberFormat="1" applyAlignment="1">
      <alignment horizontal="center"/>
    </xf>
    <xf numFmtId="20" fontId="0" fillId="0" borderId="0" xfId="0" applyNumberFormat="1" applyBorder="1"/>
    <xf numFmtId="0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164" fontId="0" fillId="0" borderId="0" xfId="0" applyNumberFormat="1" applyAlignment="1">
      <alignment wrapText="1"/>
    </xf>
    <xf numFmtId="164" fontId="0" fillId="0" borderId="0" xfId="0" applyNumberFormat="1" applyBorder="1" applyAlignment="1">
      <alignment wrapText="1"/>
    </xf>
    <xf numFmtId="0" fontId="0" fillId="0" borderId="0" xfId="0" applyAlignment="1">
      <alignment horizontal="right"/>
    </xf>
    <xf numFmtId="20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</cellXfs>
  <cellStyles count="2">
    <cellStyle name="Millares" xfId="1" builtinId="3"/>
    <cellStyle name="Normal" xfId="0" builtinId="0"/>
  </cellStyles>
  <dxfs count="5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a3" displayName="Tabla3" ref="A1:I118" totalsRowShown="0">
  <autoFilter ref="A1:I118"/>
  <tableColumns count="9">
    <tableColumn id="1" name="cargado_sql"/>
    <tableColumn id="9" name="orden_recoleccion" dataDxfId="53"/>
    <tableColumn id="2" name="id_objecto_recoleccion"/>
    <tableColumn id="3" name="cantidad_recoleccion"/>
    <tableColumn id="4" name="fecha_recoleccion"/>
    <tableColumn id="5" name="hora_inicio" dataDxfId="52"/>
    <tableColumn id="6" name="hora_fin"/>
    <tableColumn id="8" name="categoria_recoleccion"/>
    <tableColumn id="7" name="metodo_recoleccion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id="22" name="Tabla22" displayName="Tabla22" ref="A1:B3" totalsRowShown="0">
  <autoFilter ref="A1:B3"/>
  <tableColumns count="2">
    <tableColumn id="1" name="id_tipo_recoleccion" dataDxfId="51"/>
    <tableColumn id="2" name="tipo_recoleccion" dataDxfId="50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2" name="Tabla2" displayName="Tabla2" ref="A1:H96">
  <autoFilter ref="A1:H96"/>
  <tableColumns count="8">
    <tableColumn id="1" name="cargado_sql" totalsRowLabel="Total"/>
    <tableColumn id="2" name="orden_consumos_objectos"/>
    <tableColumn id="3" name="id_consumos_objectos"/>
    <tableColumn id="4" name="consumos_objectos_cantidad"/>
    <tableColumn id="5" name="obtengo_consumos_objectos_id"/>
    <tableColumn id="6" name="obtengo_consumos_objectos_cantidad"/>
    <tableColumn id="7" name="fecha_consumos_objectos"/>
    <tableColumn id="8" name="categoria_consumos_objectos" totalsRowFunction="count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1" name="Tabla1" displayName="Tabla1" ref="A1:C59" totalsRowShown="0">
  <autoFilter ref="A1:C59"/>
  <tableColumns count="3">
    <tableColumn id="1" name="id_objectos"/>
    <tableColumn id="2" name="nombre_objectos"/>
    <tableColumn id="3" name="Categoria_objectos"/>
  </tableColumns>
  <tableStyleInfo name="TableStyleDark6" showFirstColumn="0" showLastColumn="0" showRowStripes="1" showColumnStripes="0"/>
</table>
</file>

<file path=xl/tables/table5.xml><?xml version="1.0" encoding="utf-8"?>
<table xmlns="http://schemas.openxmlformats.org/spreadsheetml/2006/main" id="23" name="Tabla23" displayName="Tabla23" ref="A1:F14" totalsRowShown="0">
  <autoFilter ref="A1:F14"/>
  <tableColumns count="6">
    <tableColumn id="1" name="cargado_sql" dataDxfId="49"/>
    <tableColumn id="2" name="orden_gasto" dataDxfId="48"/>
    <tableColumn id="3" name="gasto_id" dataDxfId="47"/>
    <tableColumn id="4" name="gasto_cantidad" dataDxfId="46"/>
    <tableColumn id="9" name="gasto_precio" dataDxfId="45"/>
    <tableColumn id="7" name="gasto_fecha"/>
  </tableColumns>
  <tableStyleInfo name="TableStyleDark11" showFirstColumn="0" showLastColumn="0" showRowStripes="1" showColumnStripes="0"/>
</table>
</file>

<file path=xl/tables/table6.xml><?xml version="1.0" encoding="utf-8"?>
<table xmlns="http://schemas.openxmlformats.org/spreadsheetml/2006/main" id="4" name="Tabla4" displayName="Tabla4" ref="A1:F95" totalsRowShown="0">
  <autoFilter ref="A1:F95"/>
  <tableColumns count="6">
    <tableColumn id="1" name="cargado_sql"/>
    <tableColumn id="6" name="orden_poblacion" dataDxfId="44"/>
    <tableColumn id="2" name="fecha_poblacion"/>
    <tableColumn id="3" name="hora_poblacion"/>
    <tableColumn id="4" name="total_poblacion" dataDxfId="43"/>
    <tableColumn id="5" name="poblacion_80" dataDxfId="42"/>
  </tableColumns>
  <tableStyleInfo name="TableStyleLight6" showFirstColumn="0" showLastColumn="0" showRowStripes="1" showColumnStripes="0"/>
</table>
</file>

<file path=xl/tables/table7.xml><?xml version="1.0" encoding="utf-8"?>
<table xmlns="http://schemas.openxmlformats.org/spreadsheetml/2006/main" id="6" name="Tabla6" displayName="Tabla6" ref="A1:E30" totalsRowShown="0">
  <autoFilter ref="A1:E30"/>
  <tableColumns count="5">
    <tableColumn id="1" name="cargado_sql" dataDxfId="41"/>
    <tableColumn id="2" name="orden_prospeccion_lotes"/>
    <tableColumn id="3" name="id_mineral_prospeccion_lotes" dataDxfId="40"/>
    <tableColumn id="4" name="cantidad_menas_prospeccion_lotes" dataDxfId="39"/>
    <tableColumn id="5" name="fecha_prospeccion_lotes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id="5" name="Tabla5" displayName="Tabla5" ref="A1:E84" totalsRowShown="0">
  <autoFilter ref="A1:E84"/>
  <tableColumns count="5">
    <tableColumn id="1" name="cargado_sql"/>
    <tableColumn id="2" name="orden_prospeccion_resultados"/>
    <tableColumn id="3" name="lote_prospeccion_resultados"/>
    <tableColumn id="4" name="id_gema_prospeccion_resultados"/>
    <tableColumn id="5" name="cantidad_prospeccion_resultados"/>
  </tableColumns>
  <tableStyleInfo name="TableStyleLight17" showFirstColumn="0" showLastColumn="0" showRowStripes="1" showColumnStripes="0"/>
</table>
</file>

<file path=xl/tables/table9.xml><?xml version="1.0" encoding="utf-8"?>
<table xmlns="http://schemas.openxmlformats.org/spreadsheetml/2006/main" id="7" name="Tabla7" displayName="Tabla7" ref="A1:G10" totalsRowShown="0">
  <autoFilter ref="A1:G10"/>
  <tableColumns count="7">
    <tableColumn id="1" name="cargado_sql"/>
    <tableColumn id="2" name="orden_gemas_pulidas"/>
    <tableColumn id="3" name="id_gemas_pulidas" dataDxfId="38"/>
    <tableColumn id="4" name="cantidad_gemas_pulidas" dataDxfId="37"/>
    <tableColumn id="5" name="atributos_1_gemas_pulidas" dataDxfId="36"/>
    <tableColumn id="6" name="atributos_2_gemas_pulidas" dataDxfId="35"/>
    <tableColumn id="7" name="fecha_gemas_pulidas"/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id="8" name="Tabla8" displayName="Tabla8" ref="A1:C57" totalsRowShown="0">
  <autoFilter ref="A1:C57"/>
  <tableColumns count="3">
    <tableColumn id="2" name="id_gemas_atributos"/>
    <tableColumn id="3" name="gemas_atributos"/>
    <tableColumn id="4" name="nombre_gemas_atributos"/>
  </tableColumns>
  <tableStyleInfo name="TableStyleLight4" showFirstColumn="0" showLastColumn="0" showRowStripes="1" showColumnStripes="0"/>
</table>
</file>

<file path=xl/tables/table11.xml><?xml version="1.0" encoding="utf-8"?>
<table xmlns="http://schemas.openxmlformats.org/spreadsheetml/2006/main" id="21" name="Tabla21" displayName="Tabla21" ref="A1:E3" totalsRowShown="0">
  <autoFilter ref="A1:E3"/>
  <tableColumns count="5">
    <tableColumn id="1" name="cargado_sql" dataDxfId="34"/>
    <tableColumn id="2" name="orden_consumo_lotes" dataDxfId="33"/>
    <tableColumn id="3" name="id_consumo_lotes" dataDxfId="32"/>
    <tableColumn id="4" name="cantidad_consumo_lotes" dataDxfId="31"/>
    <tableColumn id="5" name="fecha_consumo_lotes"/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id="9" name="Tabla9" displayName="Tabla9" ref="A1:L114" totalsRowShown="0">
  <autoFilter ref="A1:L114"/>
  <tableColumns count="12">
    <tableColumn id="1" name="cargado_sql"/>
    <tableColumn id="9" name="orden_venta_gemas"/>
    <tableColumn id="2" name="orden_pulida_venta_gemas"/>
    <tableColumn id="3" name="id_valor_venta_gemas" dataDxfId="30"/>
    <tableColumn id="4" name="tiempo_venta_gemas" dataDxfId="29"/>
    <tableColumn id="5" name="precio_deposito_venta_gemas" dataDxfId="28">
      <calculatedColumnFormula>INT(VLOOKUP(D2,d_gema_valor!$A$2:$C$5,3,FALSE) * VLOOKUP(E2,d_deposito!$A$2:$B$5,2,FALSE))</calculatedColumnFormula>
    </tableColumn>
    <tableColumn id="12" name="valor_venta_gemas"/>
    <tableColumn id="10" name="estado_venta_gemas" dataDxfId="27"/>
    <tableColumn id="7" name="resultado_venta_gemas" dataDxfId="26">
      <calculatedColumnFormula>IF(H2=1, IF(L2=1, INT(G2 * (1 - VALUE(SUBSTITUTE(d_correo!$B$2, ",", ".")))), G2), -F2)</calculatedColumnFormula>
    </tableColumn>
    <tableColumn id="11" name="fecha_venta_gemas"/>
    <tableColumn id="8" name="hora_venta_gemas"/>
    <tableColumn id="14" name="metodo_venta_gemas" dataDxfId="25"/>
  </tableColumns>
  <tableStyleInfo name="TableStyleLight7" showFirstColumn="0" showLastColumn="0" showRowStripes="1" showColumnStripes="0"/>
</table>
</file>

<file path=xl/tables/table13.xml><?xml version="1.0" encoding="utf-8"?>
<table xmlns="http://schemas.openxmlformats.org/spreadsheetml/2006/main" id="14" name="Tabla14" displayName="Tabla14" ref="A1:B5" totalsRowShown="0">
  <autoFilter ref="A1:B5"/>
  <tableColumns count="2">
    <tableColumn id="1" name="id_venta_estado"/>
    <tableColumn id="2" name="venta_estado" dataDxfId="24"/>
  </tableColumns>
  <tableStyleInfo name="TableStyleDark11" showFirstColumn="0" showLastColumn="0" showRowStripes="1" showColumnStripes="0"/>
</table>
</file>

<file path=xl/tables/table14.xml><?xml version="1.0" encoding="utf-8"?>
<table xmlns="http://schemas.openxmlformats.org/spreadsheetml/2006/main" id="15" name="Tabla15" displayName="Tabla15" ref="A1:B4" totalsRowShown="0">
  <autoFilter ref="A1:B4"/>
  <tableColumns count="2">
    <tableColumn id="1" name="id_venta_metodo" dataDxfId="23"/>
    <tableColumn id="2" name="venta_metodo" dataDxfId="22"/>
  </tableColumns>
  <tableStyleInfo name="TableStyleDark11" showFirstColumn="0" showLastColumn="0" showRowStripes="1" showColumnStripes="0"/>
</table>
</file>

<file path=xl/tables/table15.xml><?xml version="1.0" encoding="utf-8"?>
<table xmlns="http://schemas.openxmlformats.org/spreadsheetml/2006/main" id="10" name="Tabla10" displayName="Tabla10" ref="A1:C5" totalsRowShown="0">
  <autoFilter ref="A1:C5"/>
  <tableColumns count="3">
    <tableColumn id="1" name="id_gema_valor"/>
    <tableColumn id="2" name="calidad_gema_valor"/>
    <tableColumn id="3" name="precio_valor_cobre"/>
  </tableColumns>
  <tableStyleInfo name="TableStyleLight14" showFirstColumn="0" showLastColumn="0" showRowStripes="1" showColumnStripes="0"/>
</table>
</file>

<file path=xl/tables/table16.xml><?xml version="1.0" encoding="utf-8"?>
<table xmlns="http://schemas.openxmlformats.org/spreadsheetml/2006/main" id="16" name="Tabla16" displayName="Tabla16" ref="A1:F1257" totalsRowShown="0">
  <autoFilter ref="A1:F1257"/>
  <tableColumns count="6">
    <tableColumn id="1" name="cargado_sql"/>
    <tableColumn id="6" name="orden_valor_subasta" dataDxfId="21"/>
    <tableColumn id="2" name="id_objecto_valor_subasta"/>
    <tableColumn id="3" name="precio_valor_subasta"/>
    <tableColumn id="4" name="fecha_valor_subasta"/>
    <tableColumn id="5" name="hora_valor_subasta"/>
  </tableColumns>
  <tableStyleInfo name="TableStyleMedium14" showFirstColumn="0" showLastColumn="0" showRowStripes="1" showColumnStripes="0"/>
</table>
</file>

<file path=xl/tables/table17.xml><?xml version="1.0" encoding="utf-8"?>
<table xmlns="http://schemas.openxmlformats.org/spreadsheetml/2006/main" id="12" name="Tabla12" displayName="Tabla12" ref="A1:B5" totalsRowShown="0">
  <autoFilter ref="A1:B5"/>
  <tableColumns count="2">
    <tableColumn id="1" name="tiempo_deposito"/>
    <tableColumn id="2" name="porcentaje_deposito" dataDxfId="20"/>
  </tableColumns>
  <tableStyleInfo name="TableStyleDark11" showFirstColumn="0" showLastColumn="0" showRowStripes="1" showColumnStripes="0"/>
</table>
</file>

<file path=xl/tables/table18.xml><?xml version="1.0" encoding="utf-8"?>
<table xmlns="http://schemas.openxmlformats.org/spreadsheetml/2006/main" id="13" name="Tabla13" displayName="Tabla13" ref="A1:B2" totalsRowShown="0">
  <autoFilter ref="A1:B2"/>
  <tableColumns count="2">
    <tableColumn id="1" name="id_correo"/>
    <tableColumn id="2" name="comision" dataDxfId="19"/>
  </tableColumns>
  <tableStyleInfo name="TableStyleDark11" showFirstColumn="0" showLastColumn="0" showRowStripes="1" showColumnStripes="0"/>
</table>
</file>

<file path=xl/tables/table19.xml><?xml version="1.0" encoding="utf-8"?>
<table xmlns="http://schemas.openxmlformats.org/spreadsheetml/2006/main" id="11" name="Tabla11" displayName="Tabla11" ref="A1:B4" totalsRowShown="0">
  <autoFilter ref="A1:B4"/>
  <tableColumns count="2">
    <tableColumn id="1" name="convertibilidad_moneda"/>
    <tableColumn id="2" name="convertibilidad_valor_cobre"/>
  </tableColumns>
  <tableStyleInfo name="TableStyleDark11" showFirstColumn="0" showLastColumn="0" showRowStripes="1" showColumnStripes="0"/>
</table>
</file>

<file path=xl/tables/table20.xml><?xml version="1.0" encoding="utf-8"?>
<table xmlns="http://schemas.openxmlformats.org/spreadsheetml/2006/main" id="18" name="Tabla18" displayName="Tabla18" ref="A1:C15" totalsRowShown="0">
  <autoFilter ref="A1:C15"/>
  <tableColumns count="3">
    <tableColumn id="1" name="id_recetas" dataDxfId="18"/>
    <tableColumn id="2" name="recetas_nombre"/>
    <tableColumn id="5" name="categoria_recetas_id" dataDxfId="17"/>
  </tableColumns>
  <tableStyleInfo name="TableStyleMedium19" showFirstColumn="0" showLastColumn="0" showRowStripes="1" showColumnStripes="0"/>
</table>
</file>

<file path=xl/tables/table21.xml><?xml version="1.0" encoding="utf-8"?>
<table xmlns="http://schemas.openxmlformats.org/spreadsheetml/2006/main" id="17" name="Tabla17" displayName="Tabla17" ref="A1:C36" totalsRowShown="0">
  <autoFilter ref="A1:C36"/>
  <tableColumns count="3">
    <tableColumn id="1" name="id_recetas_materiales" dataDxfId="16"/>
    <tableColumn id="2" name="id_objectos_receta_materiales" dataDxfId="15"/>
    <tableColumn id="3" name="cantidad_recetas_materiales" dataDxfId="14"/>
  </tableColumns>
  <tableStyleInfo name="TableStyleMedium19" showFirstColumn="0" showLastColumn="0" showRowStripes="1" showColumnStripes="0"/>
</table>
</file>

<file path=xl/tables/table22.xml><?xml version="1.0" encoding="utf-8"?>
<table xmlns="http://schemas.openxmlformats.org/spreadsheetml/2006/main" id="19" name="Tabla19" displayName="Tabla19" ref="A1:E33" totalsRowShown="0">
  <autoFilter ref="A1:E33"/>
  <tableColumns count="5">
    <tableColumn id="1" name="cargado_sql"/>
    <tableColumn id="5" name="orden_recetas_consumo" dataDxfId="13"/>
    <tableColumn id="2" name="id_recetas_consumo" dataDxfId="12"/>
    <tableColumn id="3" name="cantidad_recetas_consumo" dataDxfId="11"/>
    <tableColumn id="4" name="fecha_recetas_consumo"/>
  </tableColumns>
  <tableStyleInfo name="TableStyleMedium12" showFirstColumn="0" showLastColumn="0" showRowStripes="1" showColumnStripes="0"/>
</table>
</file>

<file path=xl/tables/table23.xml><?xml version="1.0" encoding="utf-8"?>
<table xmlns="http://schemas.openxmlformats.org/spreadsheetml/2006/main" id="20" name="Tabla20" displayName="Tabla20" ref="A1:B10" totalsRowShown="0">
  <autoFilter ref="A1:B10"/>
  <tableColumns count="2">
    <tableColumn id="1" name="id_categoria_producto"/>
    <tableColumn id="2" name="categoria_producto_nombre" dataDxfId="10"/>
  </tableColumns>
  <tableStyleInfo name="TableStyleLight21" showFirstColumn="0" showLastColumn="0" showRowStripes="1" showColumnStripes="0"/>
</table>
</file>

<file path=xl/tables/table24.xml><?xml version="1.0" encoding="utf-8"?>
<table xmlns="http://schemas.openxmlformats.org/spreadsheetml/2006/main" id="24" name="Tabla24" displayName="Tabla24" ref="A1:E2" totalsRowShown="0">
  <autoFilter ref="A1:E2"/>
  <tableColumns count="5">
    <tableColumn id="1" name="cargado_sql" dataDxfId="9"/>
    <tableColumn id="2" name="orden_transmutaciones" dataDxfId="8"/>
    <tableColumn id="3" name="receta_transmutaciones" dataDxfId="7"/>
    <tableColumn id="4" name="cantidad_transmutaciones" dataDxfId="6"/>
    <tableColumn id="5" name="fecha_transmutaciones"/>
  </tableColumns>
  <tableStyleInfo name="TableStyleMedium18" showFirstColumn="0" showLastColumn="0" showRowStripes="1" showColumnStripes="0"/>
</table>
</file>

<file path=xl/tables/table25.xml><?xml version="1.0" encoding="utf-8"?>
<table xmlns="http://schemas.openxmlformats.org/spreadsheetml/2006/main" id="25" name="Tabla25" displayName="Tabla25" ref="A1:E2" totalsRowShown="0" dataDxfId="5">
  <autoFilter ref="A1:E2"/>
  <tableColumns count="5">
    <tableColumn id="1" name="cargado_sql" dataDxfId="4"/>
    <tableColumn id="2" name="orden_transmutaciones_resultados" dataDxfId="3"/>
    <tableColumn id="3" name="orden_transmutacion" dataDxfId="2"/>
    <tableColumn id="4" name="obtengo_objecto_transmutaciones_resultados" dataDxfId="1"/>
    <tableColumn id="5" name="obtengo_cantidad_transmutaciones_resultados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I381"/>
  <sheetViews>
    <sheetView topLeftCell="A99" workbookViewId="0">
      <selection activeCell="D118" sqref="D118"/>
    </sheetView>
  </sheetViews>
  <sheetFormatPr baseColWidth="10" defaultColWidth="9.140625" defaultRowHeight="15" x14ac:dyDescent="0.25"/>
  <cols>
    <col min="1" max="1" width="3.85546875" style="1" customWidth="1"/>
    <col min="2" max="2" width="4.5703125" customWidth="1"/>
    <col min="3" max="3" width="8.5703125" style="1" customWidth="1"/>
    <col min="4" max="4" width="12" style="1" customWidth="1"/>
    <col min="5" max="5" width="12" style="15" customWidth="1"/>
    <col min="6" max="6" width="12" customWidth="1"/>
    <col min="7" max="7" width="12" style="20" customWidth="1"/>
    <col min="8" max="8" width="9.140625" style="1"/>
  </cols>
  <sheetData>
    <row r="1" spans="1:9" x14ac:dyDescent="0.25">
      <c r="A1" t="s">
        <v>0</v>
      </c>
      <c r="B1" t="s">
        <v>150</v>
      </c>
      <c r="C1" t="s">
        <v>236</v>
      </c>
      <c r="D1" t="s">
        <v>15</v>
      </c>
      <c r="E1" t="s">
        <v>14</v>
      </c>
      <c r="F1" t="s">
        <v>1</v>
      </c>
      <c r="G1" t="s">
        <v>2</v>
      </c>
      <c r="H1" t="s">
        <v>42</v>
      </c>
      <c r="I1" t="s">
        <v>153</v>
      </c>
    </row>
    <row r="2" spans="1:9" x14ac:dyDescent="0.25">
      <c r="A2" s="1">
        <v>1</v>
      </c>
      <c r="B2" s="1">
        <v>1</v>
      </c>
      <c r="C2" s="5">
        <v>1</v>
      </c>
      <c r="D2" s="5">
        <v>55</v>
      </c>
      <c r="E2" s="2">
        <v>46156</v>
      </c>
      <c r="F2" s="17">
        <v>0</v>
      </c>
      <c r="G2" s="16">
        <v>0</v>
      </c>
      <c r="H2" s="13">
        <v>1</v>
      </c>
      <c r="I2">
        <v>0</v>
      </c>
    </row>
    <row r="3" spans="1:9" x14ac:dyDescent="0.25">
      <c r="A3" s="1">
        <v>1</v>
      </c>
      <c r="B3" s="1">
        <v>2</v>
      </c>
      <c r="C3" s="5">
        <v>15</v>
      </c>
      <c r="D3" s="5">
        <v>1</v>
      </c>
      <c r="E3" s="2">
        <v>46156</v>
      </c>
      <c r="F3" s="16">
        <v>0</v>
      </c>
      <c r="G3" s="4">
        <v>0</v>
      </c>
      <c r="H3" s="13">
        <v>1</v>
      </c>
      <c r="I3">
        <v>0</v>
      </c>
    </row>
    <row r="4" spans="1:9" x14ac:dyDescent="0.25">
      <c r="A4" s="1">
        <v>1</v>
      </c>
      <c r="B4" s="1">
        <v>3</v>
      </c>
      <c r="C4" s="5">
        <v>4</v>
      </c>
      <c r="D4" s="5">
        <v>10</v>
      </c>
      <c r="E4" s="2">
        <v>46156</v>
      </c>
      <c r="F4" s="16">
        <v>0</v>
      </c>
      <c r="G4" s="4">
        <v>0</v>
      </c>
      <c r="H4" s="13">
        <v>1</v>
      </c>
      <c r="I4">
        <v>0</v>
      </c>
    </row>
    <row r="5" spans="1:9" x14ac:dyDescent="0.25">
      <c r="A5" s="1">
        <v>1</v>
      </c>
      <c r="B5" s="1">
        <v>4</v>
      </c>
      <c r="C5" s="5">
        <v>5</v>
      </c>
      <c r="D5" s="5">
        <v>12</v>
      </c>
      <c r="E5" s="2">
        <v>46156</v>
      </c>
      <c r="F5" s="16">
        <v>0</v>
      </c>
      <c r="G5" s="4">
        <v>0</v>
      </c>
      <c r="H5" s="13">
        <v>1</v>
      </c>
      <c r="I5">
        <v>0</v>
      </c>
    </row>
    <row r="6" spans="1:9" x14ac:dyDescent="0.25">
      <c r="A6" s="1">
        <v>1</v>
      </c>
      <c r="B6" s="1">
        <v>5</v>
      </c>
      <c r="C6" s="5">
        <v>7</v>
      </c>
      <c r="D6" s="5">
        <v>1</v>
      </c>
      <c r="E6" s="2">
        <v>46156</v>
      </c>
      <c r="F6" s="16">
        <v>0</v>
      </c>
      <c r="G6" s="4">
        <v>0</v>
      </c>
      <c r="H6" s="13">
        <v>1</v>
      </c>
      <c r="I6">
        <v>0</v>
      </c>
    </row>
    <row r="7" spans="1:9" x14ac:dyDescent="0.25">
      <c r="A7" s="1">
        <v>1</v>
      </c>
      <c r="B7" s="1">
        <v>6</v>
      </c>
      <c r="C7" s="5">
        <v>1</v>
      </c>
      <c r="D7" s="5">
        <v>22</v>
      </c>
      <c r="E7" s="2">
        <v>46157</v>
      </c>
      <c r="F7" s="16">
        <v>0</v>
      </c>
      <c r="G7" s="4">
        <v>0</v>
      </c>
      <c r="H7" s="13">
        <v>1</v>
      </c>
      <c r="I7">
        <v>0</v>
      </c>
    </row>
    <row r="8" spans="1:9" x14ac:dyDescent="0.25">
      <c r="A8" s="1">
        <v>1</v>
      </c>
      <c r="B8" s="1">
        <v>7</v>
      </c>
      <c r="C8" s="5">
        <v>18</v>
      </c>
      <c r="D8" s="5">
        <v>1</v>
      </c>
      <c r="E8" s="2">
        <v>46157</v>
      </c>
      <c r="F8" s="16">
        <v>0</v>
      </c>
      <c r="G8" s="4">
        <v>0</v>
      </c>
      <c r="H8" s="13">
        <v>1</v>
      </c>
      <c r="I8">
        <v>0</v>
      </c>
    </row>
    <row r="9" spans="1:9" x14ac:dyDescent="0.25">
      <c r="A9" s="1">
        <v>1</v>
      </c>
      <c r="B9" s="1">
        <v>8</v>
      </c>
      <c r="C9" s="5">
        <v>4</v>
      </c>
      <c r="D9" s="5">
        <v>5</v>
      </c>
      <c r="E9" s="2">
        <v>46157</v>
      </c>
      <c r="F9" s="16">
        <v>0</v>
      </c>
      <c r="G9" s="4">
        <v>0</v>
      </c>
      <c r="H9" s="13">
        <v>1</v>
      </c>
      <c r="I9">
        <v>0</v>
      </c>
    </row>
    <row r="10" spans="1:9" x14ac:dyDescent="0.25">
      <c r="A10" s="1">
        <v>1</v>
      </c>
      <c r="B10" s="1">
        <v>9</v>
      </c>
      <c r="C10" s="5">
        <v>5</v>
      </c>
      <c r="D10" s="5">
        <v>6</v>
      </c>
      <c r="E10" s="2">
        <v>46157</v>
      </c>
      <c r="F10" s="16">
        <v>0</v>
      </c>
      <c r="G10" s="4">
        <v>0</v>
      </c>
      <c r="H10" s="13">
        <v>1</v>
      </c>
      <c r="I10">
        <v>0</v>
      </c>
    </row>
    <row r="11" spans="1:9" x14ac:dyDescent="0.25">
      <c r="A11" s="1">
        <v>1</v>
      </c>
      <c r="B11" s="1">
        <v>10</v>
      </c>
      <c r="C11" s="5">
        <v>1</v>
      </c>
      <c r="D11" s="5">
        <v>21</v>
      </c>
      <c r="E11" s="2">
        <v>46158</v>
      </c>
      <c r="F11" s="16">
        <v>0</v>
      </c>
      <c r="G11" s="4">
        <v>0</v>
      </c>
      <c r="H11" s="13">
        <v>1</v>
      </c>
      <c r="I11">
        <v>0</v>
      </c>
    </row>
    <row r="12" spans="1:9" x14ac:dyDescent="0.25">
      <c r="A12" s="1">
        <v>1</v>
      </c>
      <c r="B12" s="1">
        <v>11</v>
      </c>
      <c r="C12" s="1">
        <v>4</v>
      </c>
      <c r="D12" s="1">
        <v>5</v>
      </c>
      <c r="E12" s="2">
        <v>46158</v>
      </c>
      <c r="F12" s="16">
        <v>0</v>
      </c>
      <c r="G12" s="4">
        <v>0</v>
      </c>
      <c r="H12" s="13">
        <v>1</v>
      </c>
      <c r="I12">
        <v>0</v>
      </c>
    </row>
    <row r="13" spans="1:9" x14ac:dyDescent="0.25">
      <c r="A13" s="1">
        <v>1</v>
      </c>
      <c r="B13" s="1">
        <v>12</v>
      </c>
      <c r="C13" s="1">
        <v>5</v>
      </c>
      <c r="D13" s="1">
        <v>4</v>
      </c>
      <c r="E13" s="2">
        <v>46158</v>
      </c>
      <c r="F13" s="16">
        <v>0</v>
      </c>
      <c r="G13" s="4">
        <v>0</v>
      </c>
      <c r="H13" s="13">
        <v>1</v>
      </c>
      <c r="I13">
        <v>0</v>
      </c>
    </row>
    <row r="14" spans="1:9" x14ac:dyDescent="0.25">
      <c r="A14" s="1">
        <v>1</v>
      </c>
      <c r="B14" s="1">
        <v>13</v>
      </c>
      <c r="C14" s="1">
        <v>1</v>
      </c>
      <c r="D14" s="1">
        <v>40</v>
      </c>
      <c r="E14" s="2">
        <v>46159</v>
      </c>
      <c r="F14" s="16">
        <v>0</v>
      </c>
      <c r="G14" s="4">
        <v>0</v>
      </c>
      <c r="H14" s="13">
        <v>1</v>
      </c>
      <c r="I14">
        <v>0</v>
      </c>
    </row>
    <row r="15" spans="1:9" x14ac:dyDescent="0.25">
      <c r="A15" s="1">
        <v>1</v>
      </c>
      <c r="B15" s="1">
        <v>14</v>
      </c>
      <c r="C15" s="1">
        <v>4</v>
      </c>
      <c r="D15" s="1">
        <v>8</v>
      </c>
      <c r="E15" s="2">
        <v>46159</v>
      </c>
      <c r="F15" s="16">
        <v>0</v>
      </c>
      <c r="G15" s="4">
        <v>0</v>
      </c>
      <c r="H15" s="13">
        <v>1</v>
      </c>
      <c r="I15">
        <v>0</v>
      </c>
    </row>
    <row r="16" spans="1:9" x14ac:dyDescent="0.25">
      <c r="A16" s="1">
        <v>1</v>
      </c>
      <c r="B16" s="1">
        <v>15</v>
      </c>
      <c r="C16" s="1">
        <v>1</v>
      </c>
      <c r="D16" s="1">
        <v>96</v>
      </c>
      <c r="E16" s="2">
        <v>46160</v>
      </c>
      <c r="F16" s="16">
        <v>0</v>
      </c>
      <c r="G16" s="4">
        <v>0</v>
      </c>
      <c r="H16" s="13">
        <v>1</v>
      </c>
      <c r="I16">
        <v>0</v>
      </c>
    </row>
    <row r="17" spans="1:9" x14ac:dyDescent="0.25">
      <c r="A17" s="1">
        <v>1</v>
      </c>
      <c r="B17" s="1">
        <v>16</v>
      </c>
      <c r="C17" s="1">
        <v>2</v>
      </c>
      <c r="D17" s="1">
        <v>86</v>
      </c>
      <c r="E17" s="2">
        <v>46160</v>
      </c>
      <c r="F17" s="16">
        <v>0</v>
      </c>
      <c r="G17" s="4">
        <v>0</v>
      </c>
      <c r="H17" s="13">
        <v>1</v>
      </c>
      <c r="I17">
        <v>0</v>
      </c>
    </row>
    <row r="18" spans="1:9" x14ac:dyDescent="0.25">
      <c r="A18" s="1">
        <v>1</v>
      </c>
      <c r="B18" s="1">
        <v>17</v>
      </c>
      <c r="C18" s="1">
        <v>4</v>
      </c>
      <c r="D18" s="1">
        <v>37</v>
      </c>
      <c r="E18" s="2">
        <v>46160</v>
      </c>
      <c r="F18" s="16">
        <v>0</v>
      </c>
      <c r="G18" s="4">
        <v>0</v>
      </c>
      <c r="H18" s="13">
        <v>1</v>
      </c>
      <c r="I18">
        <v>0</v>
      </c>
    </row>
    <row r="19" spans="1:9" x14ac:dyDescent="0.25">
      <c r="A19" s="1">
        <v>1</v>
      </c>
      <c r="B19" s="1">
        <v>18</v>
      </c>
      <c r="C19" s="1">
        <v>5</v>
      </c>
      <c r="D19" s="1">
        <v>11</v>
      </c>
      <c r="E19" s="2">
        <v>46160</v>
      </c>
      <c r="F19" s="16">
        <v>0</v>
      </c>
      <c r="G19" s="4">
        <v>0</v>
      </c>
      <c r="H19" s="13">
        <v>1</v>
      </c>
      <c r="I19">
        <v>0</v>
      </c>
    </row>
    <row r="20" spans="1:9" x14ac:dyDescent="0.25">
      <c r="A20" s="1">
        <v>1</v>
      </c>
      <c r="B20" s="1">
        <v>19</v>
      </c>
      <c r="C20" s="1">
        <v>6</v>
      </c>
      <c r="D20" s="1">
        <v>16</v>
      </c>
      <c r="E20" s="2">
        <v>46160</v>
      </c>
      <c r="F20" s="16">
        <v>0</v>
      </c>
      <c r="G20" s="4">
        <v>0</v>
      </c>
      <c r="H20" s="13">
        <v>1</v>
      </c>
      <c r="I20">
        <v>0</v>
      </c>
    </row>
    <row r="21" spans="1:9" x14ac:dyDescent="0.25">
      <c r="A21" s="1">
        <v>1</v>
      </c>
      <c r="B21" s="1">
        <v>20</v>
      </c>
      <c r="C21" s="1">
        <v>9</v>
      </c>
      <c r="D21" s="1">
        <v>1</v>
      </c>
      <c r="E21" s="2">
        <v>46160</v>
      </c>
      <c r="F21" s="16">
        <v>0</v>
      </c>
      <c r="G21" s="4">
        <v>0</v>
      </c>
      <c r="H21" s="13">
        <v>1</v>
      </c>
      <c r="I21">
        <v>0</v>
      </c>
    </row>
    <row r="22" spans="1:9" x14ac:dyDescent="0.25">
      <c r="A22" s="1">
        <v>1</v>
      </c>
      <c r="B22" s="1">
        <v>21</v>
      </c>
      <c r="C22" s="1">
        <v>12</v>
      </c>
      <c r="D22" s="1">
        <v>1</v>
      </c>
      <c r="E22" s="2">
        <v>46160</v>
      </c>
      <c r="F22" s="16">
        <v>0</v>
      </c>
      <c r="G22" s="4">
        <v>0</v>
      </c>
      <c r="H22" s="13">
        <v>1</v>
      </c>
      <c r="I22">
        <v>0</v>
      </c>
    </row>
    <row r="23" spans="1:9" x14ac:dyDescent="0.25">
      <c r="A23" s="1">
        <v>1</v>
      </c>
      <c r="B23" s="1">
        <v>22</v>
      </c>
      <c r="C23" s="1">
        <v>15</v>
      </c>
      <c r="D23" s="1">
        <v>1</v>
      </c>
      <c r="E23" s="2">
        <v>46160</v>
      </c>
      <c r="F23" s="16">
        <v>0</v>
      </c>
      <c r="G23" s="4">
        <v>0</v>
      </c>
      <c r="H23" s="13">
        <v>1</v>
      </c>
      <c r="I23">
        <v>0</v>
      </c>
    </row>
    <row r="24" spans="1:9" x14ac:dyDescent="0.25">
      <c r="A24" s="1">
        <v>1</v>
      </c>
      <c r="B24" s="1">
        <v>23</v>
      </c>
      <c r="C24" s="1">
        <v>18</v>
      </c>
      <c r="D24" s="1">
        <v>1</v>
      </c>
      <c r="E24" s="2">
        <v>46160</v>
      </c>
      <c r="F24" s="16">
        <v>0</v>
      </c>
      <c r="G24" s="4">
        <v>0</v>
      </c>
      <c r="H24" s="13">
        <v>1</v>
      </c>
      <c r="I24">
        <v>0</v>
      </c>
    </row>
    <row r="25" spans="1:9" x14ac:dyDescent="0.25">
      <c r="A25" s="1">
        <v>1</v>
      </c>
      <c r="B25" s="1">
        <v>24</v>
      </c>
      <c r="C25" s="1">
        <v>24</v>
      </c>
      <c r="D25" s="1">
        <v>1</v>
      </c>
      <c r="E25" s="2">
        <v>46160</v>
      </c>
      <c r="F25" s="16">
        <v>0</v>
      </c>
      <c r="G25" s="4">
        <v>0</v>
      </c>
      <c r="H25" s="13">
        <v>1</v>
      </c>
      <c r="I25">
        <v>0</v>
      </c>
    </row>
    <row r="26" spans="1:9" x14ac:dyDescent="0.25">
      <c r="A26" s="1">
        <v>1</v>
      </c>
      <c r="B26" s="1">
        <v>25</v>
      </c>
      <c r="C26" s="1">
        <v>2</v>
      </c>
      <c r="D26" s="1">
        <v>143</v>
      </c>
      <c r="E26" s="2">
        <v>46160</v>
      </c>
      <c r="F26" s="16">
        <v>0</v>
      </c>
      <c r="G26" s="4">
        <v>0</v>
      </c>
      <c r="H26" s="13">
        <v>1</v>
      </c>
      <c r="I26">
        <v>0</v>
      </c>
    </row>
    <row r="27" spans="1:9" x14ac:dyDescent="0.25">
      <c r="A27" s="1">
        <v>1</v>
      </c>
      <c r="B27" s="1">
        <v>26</v>
      </c>
      <c r="C27" s="1">
        <v>3</v>
      </c>
      <c r="D27" s="1">
        <v>13</v>
      </c>
      <c r="E27" s="2">
        <v>46160</v>
      </c>
      <c r="F27" s="16">
        <v>0</v>
      </c>
      <c r="G27" s="4">
        <v>0</v>
      </c>
      <c r="H27" s="13">
        <v>1</v>
      </c>
      <c r="I27">
        <v>0</v>
      </c>
    </row>
    <row r="28" spans="1:9" x14ac:dyDescent="0.25">
      <c r="A28" s="1">
        <v>1</v>
      </c>
      <c r="B28" s="1">
        <v>27</v>
      </c>
      <c r="C28" s="1">
        <v>4</v>
      </c>
      <c r="D28" s="1">
        <v>44</v>
      </c>
      <c r="E28" s="2">
        <v>46160</v>
      </c>
      <c r="F28" s="16">
        <v>0</v>
      </c>
      <c r="G28" s="4">
        <v>0</v>
      </c>
      <c r="H28" s="13">
        <v>1</v>
      </c>
      <c r="I28">
        <v>0</v>
      </c>
    </row>
    <row r="29" spans="1:9" x14ac:dyDescent="0.25">
      <c r="A29" s="1">
        <v>1</v>
      </c>
      <c r="B29" s="1">
        <v>28</v>
      </c>
      <c r="C29" s="1">
        <v>5</v>
      </c>
      <c r="D29" s="1">
        <v>3</v>
      </c>
      <c r="E29" s="2">
        <v>46160</v>
      </c>
      <c r="F29" s="16">
        <v>0</v>
      </c>
      <c r="G29" s="4">
        <v>0</v>
      </c>
      <c r="H29" s="13">
        <v>1</v>
      </c>
      <c r="I29">
        <v>0</v>
      </c>
    </row>
    <row r="30" spans="1:9" x14ac:dyDescent="0.25">
      <c r="A30" s="1">
        <v>1</v>
      </c>
      <c r="B30" s="1">
        <v>29</v>
      </c>
      <c r="C30" s="1">
        <v>6</v>
      </c>
      <c r="D30" s="1">
        <v>15</v>
      </c>
      <c r="E30" s="2">
        <v>46160</v>
      </c>
      <c r="F30" s="16">
        <v>0</v>
      </c>
      <c r="G30" s="4">
        <v>0</v>
      </c>
      <c r="H30" s="13">
        <v>1</v>
      </c>
      <c r="I30">
        <v>0</v>
      </c>
    </row>
    <row r="31" spans="1:9" x14ac:dyDescent="0.25">
      <c r="A31" s="1">
        <v>1</v>
      </c>
      <c r="B31" s="1">
        <v>30</v>
      </c>
      <c r="C31" s="1">
        <v>7</v>
      </c>
      <c r="D31" s="1">
        <v>8</v>
      </c>
      <c r="E31" s="2">
        <v>46160</v>
      </c>
      <c r="F31" s="16">
        <v>0</v>
      </c>
      <c r="G31" s="4">
        <v>0</v>
      </c>
      <c r="H31" s="13">
        <v>1</v>
      </c>
      <c r="I31">
        <v>0</v>
      </c>
    </row>
    <row r="32" spans="1:9" x14ac:dyDescent="0.25">
      <c r="A32" s="1">
        <v>1</v>
      </c>
      <c r="B32" s="1">
        <v>31</v>
      </c>
      <c r="C32" s="1">
        <v>8</v>
      </c>
      <c r="D32" s="1">
        <v>13</v>
      </c>
      <c r="E32" s="2">
        <v>46160</v>
      </c>
      <c r="F32" s="16">
        <v>0</v>
      </c>
      <c r="G32" s="4">
        <v>0</v>
      </c>
      <c r="H32" s="13">
        <v>1</v>
      </c>
      <c r="I32">
        <v>0</v>
      </c>
    </row>
    <row r="33" spans="1:9" x14ac:dyDescent="0.25">
      <c r="A33" s="1">
        <v>1</v>
      </c>
      <c r="B33" s="1">
        <v>32</v>
      </c>
      <c r="C33" s="1">
        <v>9</v>
      </c>
      <c r="D33" s="1">
        <v>4</v>
      </c>
      <c r="E33" s="2">
        <v>46160</v>
      </c>
      <c r="F33" s="16">
        <v>0</v>
      </c>
      <c r="G33" s="4">
        <v>0</v>
      </c>
      <c r="H33" s="13">
        <v>1</v>
      </c>
      <c r="I33">
        <v>0</v>
      </c>
    </row>
    <row r="34" spans="1:9" x14ac:dyDescent="0.25">
      <c r="A34" s="1">
        <v>1</v>
      </c>
      <c r="B34" s="1">
        <v>33</v>
      </c>
      <c r="C34" s="1">
        <v>2</v>
      </c>
      <c r="D34" s="1">
        <v>112</v>
      </c>
      <c r="E34" s="2">
        <v>46161</v>
      </c>
      <c r="F34" s="16">
        <v>0</v>
      </c>
      <c r="G34" s="4">
        <v>0</v>
      </c>
      <c r="H34" s="13">
        <v>1</v>
      </c>
      <c r="I34">
        <v>0</v>
      </c>
    </row>
    <row r="35" spans="1:9" x14ac:dyDescent="0.25">
      <c r="A35" s="1">
        <v>1</v>
      </c>
      <c r="B35" s="1">
        <v>34</v>
      </c>
      <c r="C35" s="1">
        <v>3</v>
      </c>
      <c r="D35" s="1">
        <v>5</v>
      </c>
      <c r="E35" s="2">
        <v>46161</v>
      </c>
      <c r="F35" s="16">
        <v>0</v>
      </c>
      <c r="G35" s="4">
        <v>0</v>
      </c>
      <c r="H35" s="13">
        <v>1</v>
      </c>
      <c r="I35">
        <v>0</v>
      </c>
    </row>
    <row r="36" spans="1:9" x14ac:dyDescent="0.25">
      <c r="A36" s="1">
        <v>1</v>
      </c>
      <c r="B36" s="1">
        <v>35</v>
      </c>
      <c r="C36" s="1">
        <v>4</v>
      </c>
      <c r="D36" s="1">
        <v>41</v>
      </c>
      <c r="E36" s="2">
        <v>46161</v>
      </c>
      <c r="F36" s="16">
        <v>0</v>
      </c>
      <c r="G36" s="4">
        <v>0</v>
      </c>
      <c r="H36" s="13">
        <v>1</v>
      </c>
      <c r="I36">
        <v>0</v>
      </c>
    </row>
    <row r="37" spans="1:9" x14ac:dyDescent="0.25">
      <c r="A37" s="1">
        <v>1</v>
      </c>
      <c r="B37" s="1">
        <v>36</v>
      </c>
      <c r="C37" s="1">
        <v>5</v>
      </c>
      <c r="D37" s="1">
        <v>4</v>
      </c>
      <c r="E37" s="2">
        <v>46161</v>
      </c>
      <c r="F37" s="16">
        <v>0</v>
      </c>
      <c r="G37" s="4">
        <v>0</v>
      </c>
      <c r="H37" s="13">
        <v>1</v>
      </c>
      <c r="I37">
        <v>0</v>
      </c>
    </row>
    <row r="38" spans="1:9" x14ac:dyDescent="0.25">
      <c r="A38" s="1">
        <v>1</v>
      </c>
      <c r="B38" s="1">
        <v>37</v>
      </c>
      <c r="C38" s="1">
        <v>6</v>
      </c>
      <c r="D38" s="1">
        <v>39</v>
      </c>
      <c r="E38" s="2">
        <v>46161</v>
      </c>
      <c r="F38" s="16">
        <v>0</v>
      </c>
      <c r="G38" s="4">
        <v>0</v>
      </c>
      <c r="H38" s="13">
        <v>1</v>
      </c>
      <c r="I38">
        <v>0</v>
      </c>
    </row>
    <row r="39" spans="1:9" x14ac:dyDescent="0.25">
      <c r="A39" s="1">
        <v>1</v>
      </c>
      <c r="B39" s="1">
        <v>38</v>
      </c>
      <c r="C39" s="1">
        <v>7</v>
      </c>
      <c r="D39" s="1">
        <v>3</v>
      </c>
      <c r="E39" s="2">
        <v>46161</v>
      </c>
      <c r="F39" s="16">
        <v>0</v>
      </c>
      <c r="G39" s="4">
        <v>0</v>
      </c>
      <c r="H39" s="13">
        <v>1</v>
      </c>
      <c r="I39">
        <v>0</v>
      </c>
    </row>
    <row r="40" spans="1:9" x14ac:dyDescent="0.25">
      <c r="A40" s="1">
        <v>1</v>
      </c>
      <c r="B40" s="1">
        <v>39</v>
      </c>
      <c r="C40" s="1">
        <v>9</v>
      </c>
      <c r="D40" s="1">
        <v>1</v>
      </c>
      <c r="E40" s="2">
        <v>46161</v>
      </c>
      <c r="F40" s="16">
        <v>0</v>
      </c>
      <c r="G40" s="4">
        <v>0</v>
      </c>
      <c r="H40" s="13">
        <v>1</v>
      </c>
      <c r="I40">
        <v>0</v>
      </c>
    </row>
    <row r="41" spans="1:9" x14ac:dyDescent="0.25">
      <c r="A41" s="1">
        <v>1</v>
      </c>
      <c r="B41" s="1">
        <v>40</v>
      </c>
      <c r="C41" s="1">
        <v>12</v>
      </c>
      <c r="D41" s="1">
        <v>1</v>
      </c>
      <c r="E41" s="2">
        <v>46161</v>
      </c>
      <c r="F41" s="16">
        <v>0</v>
      </c>
      <c r="G41" s="4">
        <v>0</v>
      </c>
      <c r="H41" s="13">
        <v>1</v>
      </c>
      <c r="I41">
        <v>0</v>
      </c>
    </row>
    <row r="42" spans="1:9" x14ac:dyDescent="0.25">
      <c r="A42" s="1">
        <v>1</v>
      </c>
      <c r="B42" s="1">
        <v>41</v>
      </c>
      <c r="C42" s="1">
        <v>15</v>
      </c>
      <c r="D42" s="1">
        <v>2</v>
      </c>
      <c r="E42" s="2">
        <v>46161</v>
      </c>
      <c r="F42" s="16">
        <v>0</v>
      </c>
      <c r="G42" s="4">
        <v>0</v>
      </c>
      <c r="H42" s="13">
        <v>1</v>
      </c>
      <c r="I42">
        <v>0</v>
      </c>
    </row>
    <row r="43" spans="1:9" x14ac:dyDescent="0.25">
      <c r="A43" s="1">
        <v>1</v>
      </c>
      <c r="B43" s="1">
        <v>42</v>
      </c>
      <c r="C43" s="1">
        <v>2</v>
      </c>
      <c r="D43" s="1">
        <v>15</v>
      </c>
      <c r="E43" s="2">
        <v>46163</v>
      </c>
      <c r="F43" s="16">
        <v>0</v>
      </c>
      <c r="G43" s="4">
        <v>0</v>
      </c>
      <c r="H43" s="13">
        <v>1</v>
      </c>
      <c r="I43">
        <v>0</v>
      </c>
    </row>
    <row r="44" spans="1:9" x14ac:dyDescent="0.25">
      <c r="A44" s="1">
        <v>1</v>
      </c>
      <c r="B44" s="1">
        <v>43</v>
      </c>
      <c r="C44" s="1">
        <v>4</v>
      </c>
      <c r="D44" s="1">
        <v>2</v>
      </c>
      <c r="E44" s="2">
        <v>46163</v>
      </c>
      <c r="F44" s="16">
        <v>0</v>
      </c>
      <c r="G44" s="4">
        <v>0</v>
      </c>
      <c r="H44" s="13">
        <v>1</v>
      </c>
      <c r="I44">
        <v>0</v>
      </c>
    </row>
    <row r="45" spans="1:9" x14ac:dyDescent="0.25">
      <c r="A45" s="1">
        <v>1</v>
      </c>
      <c r="B45" s="1">
        <v>44</v>
      </c>
      <c r="C45" s="1">
        <v>6</v>
      </c>
      <c r="D45" s="1">
        <v>9</v>
      </c>
      <c r="E45" s="2">
        <v>46163</v>
      </c>
      <c r="F45" s="16">
        <v>0</v>
      </c>
      <c r="G45" s="4">
        <v>0</v>
      </c>
      <c r="H45" s="13">
        <v>1</v>
      </c>
      <c r="I45">
        <v>0</v>
      </c>
    </row>
    <row r="46" spans="1:9" x14ac:dyDescent="0.25">
      <c r="A46" s="1">
        <v>1</v>
      </c>
      <c r="B46" s="1">
        <v>45</v>
      </c>
      <c r="C46" s="1">
        <v>2</v>
      </c>
      <c r="D46" s="1">
        <v>3</v>
      </c>
      <c r="E46" s="2">
        <v>46161</v>
      </c>
      <c r="F46" s="16">
        <v>0</v>
      </c>
      <c r="G46" s="4">
        <v>0</v>
      </c>
      <c r="H46" s="13">
        <v>1</v>
      </c>
      <c r="I46">
        <v>0</v>
      </c>
    </row>
    <row r="47" spans="1:9" x14ac:dyDescent="0.25">
      <c r="A47" s="1">
        <v>1</v>
      </c>
      <c r="B47" s="1">
        <v>46</v>
      </c>
      <c r="C47" s="1">
        <v>4</v>
      </c>
      <c r="D47" s="1">
        <v>10</v>
      </c>
      <c r="E47" s="2">
        <v>46163</v>
      </c>
      <c r="F47" s="16">
        <v>0</v>
      </c>
      <c r="G47" s="4">
        <v>0</v>
      </c>
      <c r="H47" s="13">
        <v>1</v>
      </c>
      <c r="I47">
        <v>0</v>
      </c>
    </row>
    <row r="48" spans="1:9" x14ac:dyDescent="0.25">
      <c r="A48" s="1">
        <v>1</v>
      </c>
      <c r="B48" s="1">
        <v>47</v>
      </c>
      <c r="C48" s="1">
        <v>5</v>
      </c>
      <c r="D48" s="1">
        <v>10</v>
      </c>
      <c r="E48" s="2">
        <v>46163</v>
      </c>
      <c r="F48" s="16">
        <v>0</v>
      </c>
      <c r="G48" s="4">
        <v>0</v>
      </c>
      <c r="H48" s="13">
        <v>1</v>
      </c>
      <c r="I48">
        <v>0</v>
      </c>
    </row>
    <row r="49" spans="1:9" x14ac:dyDescent="0.25">
      <c r="A49" s="1">
        <v>1</v>
      </c>
      <c r="B49" s="1">
        <v>48</v>
      </c>
      <c r="C49" s="1">
        <v>6</v>
      </c>
      <c r="D49" s="1">
        <v>2</v>
      </c>
      <c r="E49" s="2">
        <v>46163</v>
      </c>
      <c r="F49" s="16">
        <v>0</v>
      </c>
      <c r="G49" s="4">
        <v>0</v>
      </c>
      <c r="H49" s="13">
        <v>1</v>
      </c>
      <c r="I49">
        <v>0</v>
      </c>
    </row>
    <row r="50" spans="1:9" x14ac:dyDescent="0.25">
      <c r="A50" s="1">
        <v>1</v>
      </c>
      <c r="B50" s="1">
        <v>49</v>
      </c>
      <c r="C50" s="1">
        <v>1</v>
      </c>
      <c r="D50" s="1">
        <v>6</v>
      </c>
      <c r="E50" s="2">
        <v>46163</v>
      </c>
      <c r="F50" s="16">
        <v>0</v>
      </c>
      <c r="G50" s="4">
        <v>0</v>
      </c>
      <c r="H50" s="13">
        <v>1</v>
      </c>
      <c r="I50">
        <v>0</v>
      </c>
    </row>
    <row r="51" spans="1:9" x14ac:dyDescent="0.25">
      <c r="A51" s="1">
        <v>1</v>
      </c>
      <c r="B51" s="1">
        <v>50</v>
      </c>
      <c r="C51" s="1">
        <v>4</v>
      </c>
      <c r="D51" s="1">
        <v>2</v>
      </c>
      <c r="E51" s="2">
        <v>46163</v>
      </c>
      <c r="F51" s="16">
        <v>0</v>
      </c>
      <c r="G51" s="4">
        <v>0</v>
      </c>
      <c r="H51" s="13">
        <v>1</v>
      </c>
      <c r="I51">
        <v>0</v>
      </c>
    </row>
    <row r="52" spans="1:9" x14ac:dyDescent="0.25">
      <c r="A52" s="1">
        <v>1</v>
      </c>
      <c r="B52" s="1">
        <v>51</v>
      </c>
      <c r="C52" s="1">
        <v>12</v>
      </c>
      <c r="D52" s="1">
        <v>1</v>
      </c>
      <c r="E52" s="2">
        <v>46163</v>
      </c>
      <c r="F52" s="16">
        <v>0</v>
      </c>
      <c r="G52" s="4">
        <v>0</v>
      </c>
      <c r="H52" s="13">
        <v>1</v>
      </c>
      <c r="I52">
        <v>0</v>
      </c>
    </row>
    <row r="53" spans="1:9" x14ac:dyDescent="0.25">
      <c r="A53" s="1">
        <v>1</v>
      </c>
      <c r="B53" s="1">
        <v>52</v>
      </c>
      <c r="C53" s="1">
        <v>6</v>
      </c>
      <c r="D53" s="1">
        <v>8</v>
      </c>
      <c r="E53" s="2">
        <v>46164</v>
      </c>
      <c r="F53" s="16">
        <v>0.54652777777777783</v>
      </c>
      <c r="G53" s="4">
        <v>0.55069444444444449</v>
      </c>
      <c r="H53" s="13">
        <v>2</v>
      </c>
      <c r="I53">
        <v>1</v>
      </c>
    </row>
    <row r="54" spans="1:9" x14ac:dyDescent="0.25">
      <c r="A54" s="1">
        <v>1</v>
      </c>
      <c r="B54" s="1">
        <v>53</v>
      </c>
      <c r="C54" s="1">
        <v>2</v>
      </c>
      <c r="D54" s="1">
        <v>164</v>
      </c>
      <c r="E54" s="2">
        <v>46164</v>
      </c>
      <c r="F54" s="16">
        <v>0.55277777777777781</v>
      </c>
      <c r="G54" s="4">
        <v>0.57500000000000007</v>
      </c>
      <c r="H54" s="13">
        <v>1</v>
      </c>
      <c r="I54">
        <v>1</v>
      </c>
    </row>
    <row r="55" spans="1:9" x14ac:dyDescent="0.25">
      <c r="A55" s="1">
        <v>1</v>
      </c>
      <c r="B55" s="1">
        <v>54</v>
      </c>
      <c r="C55" s="1">
        <v>4</v>
      </c>
      <c r="D55" s="1">
        <v>49</v>
      </c>
      <c r="E55" s="2">
        <v>46164</v>
      </c>
      <c r="F55" s="16">
        <v>0.55277777777777781</v>
      </c>
      <c r="G55" s="4">
        <v>0.57500000000000007</v>
      </c>
      <c r="H55" s="13">
        <v>1</v>
      </c>
      <c r="I55">
        <v>1</v>
      </c>
    </row>
    <row r="56" spans="1:9" x14ac:dyDescent="0.25">
      <c r="A56" s="1">
        <v>1</v>
      </c>
      <c r="B56" s="1">
        <v>55</v>
      </c>
      <c r="C56" s="1">
        <v>6</v>
      </c>
      <c r="D56" s="1">
        <v>48</v>
      </c>
      <c r="E56" s="2">
        <v>46164</v>
      </c>
      <c r="F56" s="16">
        <v>0.55277777777777781</v>
      </c>
      <c r="G56" s="4">
        <v>0.57500000000000007</v>
      </c>
      <c r="H56" s="13">
        <v>1</v>
      </c>
      <c r="I56">
        <v>1</v>
      </c>
    </row>
    <row r="57" spans="1:9" x14ac:dyDescent="0.25">
      <c r="A57" s="1">
        <v>1</v>
      </c>
      <c r="B57" s="1">
        <v>56</v>
      </c>
      <c r="C57" s="1">
        <v>5</v>
      </c>
      <c r="D57" s="1">
        <v>6</v>
      </c>
      <c r="E57" s="2">
        <v>46164</v>
      </c>
      <c r="F57" s="16">
        <v>0.55277777777777781</v>
      </c>
      <c r="G57" s="4">
        <v>0.57500000000000007</v>
      </c>
      <c r="H57" s="13">
        <v>1</v>
      </c>
      <c r="I57">
        <v>1</v>
      </c>
    </row>
    <row r="58" spans="1:9" x14ac:dyDescent="0.25">
      <c r="A58" s="1">
        <v>1</v>
      </c>
      <c r="B58" s="1">
        <v>57</v>
      </c>
      <c r="C58" s="1">
        <v>7</v>
      </c>
      <c r="D58" s="1">
        <v>8</v>
      </c>
      <c r="E58" s="2">
        <v>46164</v>
      </c>
      <c r="F58" s="16">
        <v>0.55277777777777803</v>
      </c>
      <c r="G58" s="4">
        <v>0.57499999999999996</v>
      </c>
      <c r="H58" s="13">
        <v>1</v>
      </c>
      <c r="I58">
        <v>1</v>
      </c>
    </row>
    <row r="59" spans="1:9" x14ac:dyDescent="0.25">
      <c r="A59" s="1">
        <v>1</v>
      </c>
      <c r="B59" s="1">
        <v>58</v>
      </c>
      <c r="C59" s="1">
        <v>8</v>
      </c>
      <c r="D59" s="1">
        <v>9</v>
      </c>
      <c r="E59" s="2">
        <v>46164</v>
      </c>
      <c r="F59" s="16">
        <v>0.55277777777777803</v>
      </c>
      <c r="G59" s="4">
        <v>0.57499999999999996</v>
      </c>
      <c r="H59" s="13">
        <v>1</v>
      </c>
      <c r="I59">
        <v>1</v>
      </c>
    </row>
    <row r="60" spans="1:9" x14ac:dyDescent="0.25">
      <c r="A60" s="1">
        <v>1</v>
      </c>
      <c r="B60" s="1">
        <v>59</v>
      </c>
      <c r="C60" s="1">
        <v>3</v>
      </c>
      <c r="D60" s="1">
        <v>10</v>
      </c>
      <c r="E60" s="2">
        <v>46164</v>
      </c>
      <c r="F60" s="16">
        <v>0.55277777777777803</v>
      </c>
      <c r="G60" s="4">
        <v>0.57499999999999996</v>
      </c>
      <c r="H60" s="13">
        <v>1</v>
      </c>
      <c r="I60">
        <v>1</v>
      </c>
    </row>
    <row r="61" spans="1:9" x14ac:dyDescent="0.25">
      <c r="A61" s="1">
        <v>1</v>
      </c>
      <c r="B61" s="1">
        <v>60</v>
      </c>
      <c r="C61" s="1">
        <v>12</v>
      </c>
      <c r="D61" s="1">
        <v>1</v>
      </c>
      <c r="E61" s="2">
        <v>46164</v>
      </c>
      <c r="F61" s="16">
        <v>0.55277777777777803</v>
      </c>
      <c r="G61" s="4">
        <v>0.57499999999999996</v>
      </c>
      <c r="H61" s="13">
        <v>1</v>
      </c>
      <c r="I61">
        <v>1</v>
      </c>
    </row>
    <row r="62" spans="1:9" x14ac:dyDescent="0.25">
      <c r="A62" s="1">
        <v>1</v>
      </c>
      <c r="B62" s="1">
        <v>61</v>
      </c>
      <c r="C62" s="1">
        <v>2</v>
      </c>
      <c r="D62" s="1">
        <v>98</v>
      </c>
      <c r="E62" s="2">
        <v>46165</v>
      </c>
      <c r="F62" s="16">
        <v>0</v>
      </c>
      <c r="G62" s="16">
        <v>0</v>
      </c>
      <c r="H62" s="13">
        <v>1</v>
      </c>
      <c r="I62">
        <v>0</v>
      </c>
    </row>
    <row r="63" spans="1:9" x14ac:dyDescent="0.25">
      <c r="A63" s="1">
        <v>1</v>
      </c>
      <c r="B63" s="1">
        <v>62</v>
      </c>
      <c r="C63" s="1">
        <v>3</v>
      </c>
      <c r="D63" s="1">
        <v>11</v>
      </c>
      <c r="E63" s="2">
        <v>46165</v>
      </c>
      <c r="F63" s="16">
        <v>0</v>
      </c>
      <c r="G63" s="16">
        <v>0</v>
      </c>
      <c r="H63" s="13">
        <v>1</v>
      </c>
      <c r="I63">
        <v>0</v>
      </c>
    </row>
    <row r="64" spans="1:9" x14ac:dyDescent="0.25">
      <c r="A64" s="1">
        <v>1</v>
      </c>
      <c r="B64" s="1">
        <v>63</v>
      </c>
      <c r="C64" s="1">
        <v>4</v>
      </c>
      <c r="D64" s="1">
        <v>19</v>
      </c>
      <c r="E64" s="2">
        <v>46165</v>
      </c>
      <c r="F64" s="16">
        <v>0</v>
      </c>
      <c r="G64" s="16">
        <v>0</v>
      </c>
      <c r="H64" s="13">
        <v>1</v>
      </c>
      <c r="I64">
        <v>0</v>
      </c>
    </row>
    <row r="65" spans="1:9" x14ac:dyDescent="0.25">
      <c r="A65" s="1">
        <v>1</v>
      </c>
      <c r="B65" s="1">
        <v>64</v>
      </c>
      <c r="C65" s="1">
        <v>5</v>
      </c>
      <c r="D65" s="1">
        <v>13</v>
      </c>
      <c r="E65" s="2">
        <v>46165</v>
      </c>
      <c r="F65" s="16">
        <v>0</v>
      </c>
      <c r="G65" s="16">
        <v>0</v>
      </c>
      <c r="H65" s="13">
        <v>1</v>
      </c>
      <c r="I65">
        <v>0</v>
      </c>
    </row>
    <row r="66" spans="1:9" x14ac:dyDescent="0.25">
      <c r="A66" s="1">
        <v>1</v>
      </c>
      <c r="B66" s="1">
        <v>65</v>
      </c>
      <c r="C66" s="1">
        <v>6</v>
      </c>
      <c r="D66" s="1">
        <v>15</v>
      </c>
      <c r="E66" s="2">
        <v>46165</v>
      </c>
      <c r="F66" s="16">
        <v>0</v>
      </c>
      <c r="G66" s="16">
        <v>0</v>
      </c>
      <c r="H66" s="13">
        <v>1</v>
      </c>
      <c r="I66">
        <v>0</v>
      </c>
    </row>
    <row r="67" spans="1:9" x14ac:dyDescent="0.25">
      <c r="A67" s="1">
        <v>1</v>
      </c>
      <c r="B67" s="1">
        <v>66</v>
      </c>
      <c r="C67" s="1">
        <v>7</v>
      </c>
      <c r="D67" s="1">
        <v>3</v>
      </c>
      <c r="E67" s="2">
        <v>46165</v>
      </c>
      <c r="F67" s="16">
        <v>0</v>
      </c>
      <c r="G67" s="16">
        <v>0</v>
      </c>
      <c r="H67" s="13">
        <v>1</v>
      </c>
      <c r="I67">
        <v>0</v>
      </c>
    </row>
    <row r="68" spans="1:9" x14ac:dyDescent="0.25">
      <c r="A68" s="1">
        <v>1</v>
      </c>
      <c r="B68" s="1">
        <v>67</v>
      </c>
      <c r="C68" s="1">
        <v>8</v>
      </c>
      <c r="D68" s="1">
        <v>10</v>
      </c>
      <c r="E68" s="2">
        <v>46165</v>
      </c>
      <c r="F68" s="16">
        <v>0</v>
      </c>
      <c r="G68" s="16">
        <v>0</v>
      </c>
      <c r="H68" s="13">
        <v>1</v>
      </c>
      <c r="I68">
        <v>0</v>
      </c>
    </row>
    <row r="69" spans="1:9" x14ac:dyDescent="0.25">
      <c r="A69" s="1">
        <v>1</v>
      </c>
      <c r="B69" s="1">
        <v>68</v>
      </c>
      <c r="C69" s="1">
        <v>9</v>
      </c>
      <c r="D69" s="1">
        <v>1</v>
      </c>
      <c r="E69" s="2">
        <v>46165</v>
      </c>
      <c r="F69" s="16">
        <v>0</v>
      </c>
      <c r="G69" s="16">
        <v>0</v>
      </c>
      <c r="H69" s="13">
        <v>1</v>
      </c>
      <c r="I69">
        <v>0</v>
      </c>
    </row>
    <row r="70" spans="1:9" x14ac:dyDescent="0.25">
      <c r="A70" s="1">
        <v>1</v>
      </c>
      <c r="B70" s="1">
        <v>69</v>
      </c>
      <c r="C70" s="1">
        <v>12</v>
      </c>
      <c r="D70" s="1">
        <v>2</v>
      </c>
      <c r="E70" s="2">
        <v>46165</v>
      </c>
      <c r="F70" s="16">
        <v>0</v>
      </c>
      <c r="G70" s="16">
        <v>0</v>
      </c>
      <c r="H70" s="13">
        <v>1</v>
      </c>
      <c r="I70">
        <v>0</v>
      </c>
    </row>
    <row r="71" spans="1:9" x14ac:dyDescent="0.25">
      <c r="A71" s="1">
        <v>1</v>
      </c>
      <c r="B71" s="1">
        <v>70</v>
      </c>
      <c r="C71" s="1">
        <v>15</v>
      </c>
      <c r="D71" s="1">
        <v>1</v>
      </c>
      <c r="E71" s="2">
        <v>46165</v>
      </c>
      <c r="F71" s="16">
        <v>0</v>
      </c>
      <c r="G71" s="16">
        <v>0</v>
      </c>
      <c r="H71" s="13">
        <v>1</v>
      </c>
      <c r="I71">
        <v>0</v>
      </c>
    </row>
    <row r="72" spans="1:9" x14ac:dyDescent="0.25">
      <c r="A72" s="1">
        <v>1</v>
      </c>
      <c r="B72" s="1">
        <v>71</v>
      </c>
      <c r="C72" s="1">
        <v>21</v>
      </c>
      <c r="D72" s="1">
        <v>1</v>
      </c>
      <c r="E72" s="2">
        <v>46165</v>
      </c>
      <c r="F72" s="16">
        <v>0</v>
      </c>
      <c r="G72" s="16">
        <v>0</v>
      </c>
      <c r="H72" s="13">
        <v>1</v>
      </c>
      <c r="I72">
        <v>0</v>
      </c>
    </row>
    <row r="73" spans="1:9" x14ac:dyDescent="0.25">
      <c r="A73" s="1">
        <v>1</v>
      </c>
      <c r="B73" s="1">
        <v>72</v>
      </c>
      <c r="C73" s="1">
        <v>2</v>
      </c>
      <c r="D73" s="1">
        <v>7</v>
      </c>
      <c r="E73" s="2">
        <v>46165</v>
      </c>
      <c r="F73" s="16">
        <v>0</v>
      </c>
      <c r="G73" s="16">
        <v>0</v>
      </c>
      <c r="H73" s="13">
        <v>1</v>
      </c>
      <c r="I73">
        <v>0</v>
      </c>
    </row>
    <row r="74" spans="1:9" x14ac:dyDescent="0.25">
      <c r="A74" s="1">
        <v>1</v>
      </c>
      <c r="B74" s="1">
        <v>73</v>
      </c>
      <c r="C74" s="1">
        <v>4</v>
      </c>
      <c r="D74" s="1">
        <v>9</v>
      </c>
      <c r="E74" s="2">
        <v>46165</v>
      </c>
      <c r="F74" s="16">
        <v>0</v>
      </c>
      <c r="G74" s="16">
        <v>0</v>
      </c>
      <c r="H74" s="13">
        <v>1</v>
      </c>
      <c r="I74">
        <v>0</v>
      </c>
    </row>
    <row r="75" spans="1:9" x14ac:dyDescent="0.25">
      <c r="A75" s="1">
        <v>1</v>
      </c>
      <c r="B75" s="1">
        <v>74</v>
      </c>
      <c r="C75" s="1">
        <v>2</v>
      </c>
      <c r="D75" s="1">
        <v>12</v>
      </c>
      <c r="E75" s="2">
        <v>46169</v>
      </c>
      <c r="F75" s="16">
        <v>0</v>
      </c>
      <c r="G75" s="16">
        <v>0</v>
      </c>
      <c r="H75" s="13">
        <v>1</v>
      </c>
      <c r="I75">
        <v>0</v>
      </c>
    </row>
    <row r="76" spans="1:9" x14ac:dyDescent="0.25">
      <c r="A76" s="1">
        <v>1</v>
      </c>
      <c r="B76" s="1">
        <v>75</v>
      </c>
      <c r="C76" s="1">
        <v>4</v>
      </c>
      <c r="D76" s="1">
        <v>6</v>
      </c>
      <c r="E76" s="2">
        <v>46169</v>
      </c>
      <c r="F76" s="16">
        <v>0</v>
      </c>
      <c r="G76" s="16">
        <v>0</v>
      </c>
      <c r="H76" s="13">
        <v>1</v>
      </c>
      <c r="I76">
        <v>0</v>
      </c>
    </row>
    <row r="77" spans="1:9" x14ac:dyDescent="0.25">
      <c r="A77" s="1">
        <v>1</v>
      </c>
      <c r="B77" s="1">
        <v>76</v>
      </c>
      <c r="C77" s="1">
        <v>902</v>
      </c>
      <c r="D77" s="1">
        <v>2</v>
      </c>
      <c r="E77" s="2">
        <v>46169</v>
      </c>
      <c r="F77" s="16">
        <v>0</v>
      </c>
      <c r="G77" s="16">
        <v>0</v>
      </c>
      <c r="H77" s="13">
        <v>2</v>
      </c>
      <c r="I77">
        <v>0</v>
      </c>
    </row>
    <row r="78" spans="1:9" x14ac:dyDescent="0.25">
      <c r="A78" s="1">
        <v>1</v>
      </c>
      <c r="B78" s="1">
        <v>77</v>
      </c>
      <c r="C78" s="1">
        <v>6</v>
      </c>
      <c r="D78" s="1">
        <v>3</v>
      </c>
      <c r="E78" s="2">
        <v>46169</v>
      </c>
      <c r="F78" s="16">
        <v>0</v>
      </c>
      <c r="G78" s="16">
        <v>0</v>
      </c>
      <c r="H78" s="13">
        <v>1</v>
      </c>
      <c r="I78">
        <v>0</v>
      </c>
    </row>
    <row r="79" spans="1:9" x14ac:dyDescent="0.25">
      <c r="A79" s="1">
        <v>1</v>
      </c>
      <c r="B79" s="1">
        <v>78</v>
      </c>
      <c r="C79" s="1">
        <v>2</v>
      </c>
      <c r="D79" s="1">
        <v>15</v>
      </c>
      <c r="E79" s="2">
        <v>46173</v>
      </c>
      <c r="F79" s="16">
        <v>0</v>
      </c>
      <c r="G79" s="16">
        <v>0</v>
      </c>
      <c r="H79" s="1">
        <v>1</v>
      </c>
      <c r="I79">
        <v>0</v>
      </c>
    </row>
    <row r="80" spans="1:9" x14ac:dyDescent="0.25">
      <c r="A80" s="1">
        <v>1</v>
      </c>
      <c r="B80" s="1">
        <v>79</v>
      </c>
      <c r="C80" s="1">
        <v>4</v>
      </c>
      <c r="D80" s="1">
        <v>18</v>
      </c>
      <c r="E80" s="2">
        <v>46173</v>
      </c>
      <c r="F80" s="16">
        <v>0</v>
      </c>
      <c r="G80" s="16">
        <v>0</v>
      </c>
      <c r="H80" s="1">
        <v>1</v>
      </c>
      <c r="I80">
        <v>0</v>
      </c>
    </row>
    <row r="81" spans="1:9" x14ac:dyDescent="0.25">
      <c r="A81" s="1">
        <v>1</v>
      </c>
      <c r="B81" s="1">
        <v>80</v>
      </c>
      <c r="C81" s="1">
        <v>5</v>
      </c>
      <c r="D81" s="1">
        <v>1</v>
      </c>
      <c r="E81" s="2">
        <v>46173</v>
      </c>
      <c r="F81" s="16">
        <v>0</v>
      </c>
      <c r="G81" s="16">
        <v>0</v>
      </c>
      <c r="H81" s="1">
        <v>1</v>
      </c>
      <c r="I81">
        <v>0</v>
      </c>
    </row>
    <row r="82" spans="1:9" x14ac:dyDescent="0.25">
      <c r="A82" s="1">
        <v>1</v>
      </c>
      <c r="B82" s="1">
        <v>81</v>
      </c>
      <c r="C82" s="1">
        <v>6</v>
      </c>
      <c r="D82" s="1">
        <v>5</v>
      </c>
      <c r="E82" s="2">
        <v>46173</v>
      </c>
      <c r="F82" s="16">
        <v>0</v>
      </c>
      <c r="G82" s="16">
        <v>0</v>
      </c>
      <c r="H82" s="1">
        <v>1</v>
      </c>
      <c r="I82">
        <v>0</v>
      </c>
    </row>
    <row r="83" spans="1:9" x14ac:dyDescent="0.25">
      <c r="A83" s="1">
        <v>1</v>
      </c>
      <c r="B83" s="1">
        <v>82</v>
      </c>
      <c r="C83" s="1">
        <v>1</v>
      </c>
      <c r="D83" s="1">
        <v>5</v>
      </c>
      <c r="E83" s="2">
        <v>46176</v>
      </c>
      <c r="F83" s="16">
        <v>0</v>
      </c>
      <c r="G83" s="16">
        <v>0</v>
      </c>
      <c r="H83" s="1">
        <v>1</v>
      </c>
      <c r="I83">
        <v>0</v>
      </c>
    </row>
    <row r="84" spans="1:9" x14ac:dyDescent="0.25">
      <c r="A84" s="1">
        <v>1</v>
      </c>
      <c r="B84" s="1">
        <v>83</v>
      </c>
      <c r="C84" s="1">
        <v>2</v>
      </c>
      <c r="D84" s="1">
        <v>51</v>
      </c>
      <c r="E84" s="2">
        <v>46176</v>
      </c>
      <c r="F84" s="16">
        <v>0</v>
      </c>
      <c r="G84" s="16">
        <v>0</v>
      </c>
      <c r="H84" s="1">
        <v>1</v>
      </c>
      <c r="I84">
        <v>0</v>
      </c>
    </row>
    <row r="85" spans="1:9" x14ac:dyDescent="0.25">
      <c r="A85" s="1">
        <v>1</v>
      </c>
      <c r="B85" s="1">
        <v>84</v>
      </c>
      <c r="C85" s="1">
        <v>4</v>
      </c>
      <c r="D85" s="1">
        <v>12</v>
      </c>
      <c r="E85" s="2">
        <v>46176</v>
      </c>
      <c r="F85" s="16">
        <v>0</v>
      </c>
      <c r="G85" s="16">
        <v>0</v>
      </c>
      <c r="H85" s="1">
        <v>1</v>
      </c>
      <c r="I85">
        <v>0</v>
      </c>
    </row>
    <row r="86" spans="1:9" x14ac:dyDescent="0.25">
      <c r="A86" s="1">
        <v>1</v>
      </c>
      <c r="B86" s="1">
        <v>85</v>
      </c>
      <c r="C86" s="1">
        <v>5</v>
      </c>
      <c r="D86" s="1">
        <v>3</v>
      </c>
      <c r="E86" s="2">
        <v>46176</v>
      </c>
      <c r="F86" s="16">
        <v>0</v>
      </c>
      <c r="G86" s="16">
        <v>0</v>
      </c>
      <c r="H86" s="1">
        <v>1</v>
      </c>
      <c r="I86">
        <v>0</v>
      </c>
    </row>
    <row r="87" spans="1:9" x14ac:dyDescent="0.25">
      <c r="A87" s="1">
        <v>1</v>
      </c>
      <c r="B87" s="1">
        <v>86</v>
      </c>
      <c r="C87" s="1">
        <v>6</v>
      </c>
      <c r="D87" s="1">
        <v>7</v>
      </c>
      <c r="E87" s="2">
        <v>46176</v>
      </c>
      <c r="F87" s="16">
        <v>0</v>
      </c>
      <c r="G87" s="16">
        <v>0</v>
      </c>
      <c r="H87" s="1">
        <v>1</v>
      </c>
      <c r="I87">
        <v>0</v>
      </c>
    </row>
    <row r="88" spans="1:9" x14ac:dyDescent="0.25">
      <c r="A88" s="1">
        <v>1</v>
      </c>
      <c r="B88" s="1">
        <v>87</v>
      </c>
      <c r="C88" s="1">
        <v>8</v>
      </c>
      <c r="D88" s="1">
        <v>3</v>
      </c>
      <c r="E88" s="2">
        <v>46176</v>
      </c>
      <c r="F88" s="16">
        <v>0</v>
      </c>
      <c r="G88" s="16">
        <v>0</v>
      </c>
      <c r="H88" s="1">
        <v>1</v>
      </c>
      <c r="I88">
        <v>0</v>
      </c>
    </row>
    <row r="89" spans="1:9" x14ac:dyDescent="0.25">
      <c r="A89" s="1">
        <v>1</v>
      </c>
      <c r="B89" s="1">
        <v>88</v>
      </c>
      <c r="C89" s="1">
        <v>15</v>
      </c>
      <c r="D89" s="1">
        <v>1</v>
      </c>
      <c r="E89" s="2">
        <v>46176</v>
      </c>
      <c r="F89" s="16">
        <v>0</v>
      </c>
      <c r="G89" s="16">
        <v>0</v>
      </c>
      <c r="H89" s="1">
        <v>1</v>
      </c>
      <c r="I89">
        <v>0</v>
      </c>
    </row>
    <row r="90" spans="1:9" x14ac:dyDescent="0.25">
      <c r="A90" s="1">
        <v>1</v>
      </c>
      <c r="B90" s="1">
        <v>89</v>
      </c>
      <c r="C90" s="1">
        <v>24</v>
      </c>
      <c r="D90" s="1">
        <v>1</v>
      </c>
      <c r="E90" s="2">
        <v>46176</v>
      </c>
      <c r="F90" s="16">
        <v>0</v>
      </c>
      <c r="G90" s="16">
        <v>0</v>
      </c>
      <c r="H90" s="1">
        <v>1</v>
      </c>
      <c r="I90">
        <v>0</v>
      </c>
    </row>
    <row r="91" spans="1:9" x14ac:dyDescent="0.25">
      <c r="A91" s="1">
        <v>1</v>
      </c>
      <c r="B91" s="1">
        <v>90</v>
      </c>
      <c r="C91" s="1">
        <v>2</v>
      </c>
      <c r="D91" s="1">
        <v>24</v>
      </c>
      <c r="E91" s="2">
        <v>46179</v>
      </c>
      <c r="F91" s="16">
        <v>0</v>
      </c>
      <c r="G91" s="16">
        <v>0</v>
      </c>
      <c r="H91" s="1">
        <v>1</v>
      </c>
      <c r="I91">
        <v>0</v>
      </c>
    </row>
    <row r="92" spans="1:9" x14ac:dyDescent="0.25">
      <c r="A92" s="1">
        <v>1</v>
      </c>
      <c r="B92" s="1">
        <v>91</v>
      </c>
      <c r="C92" s="1">
        <v>4</v>
      </c>
      <c r="D92" s="1">
        <v>10</v>
      </c>
      <c r="E92" s="2">
        <v>46179</v>
      </c>
      <c r="F92" s="16">
        <v>0</v>
      </c>
      <c r="G92" s="16">
        <v>0</v>
      </c>
      <c r="H92" s="1">
        <v>1</v>
      </c>
      <c r="I92">
        <v>0</v>
      </c>
    </row>
    <row r="93" spans="1:9" x14ac:dyDescent="0.25">
      <c r="A93" s="1">
        <v>1</v>
      </c>
      <c r="B93" s="1">
        <v>92</v>
      </c>
      <c r="C93" s="1">
        <v>6</v>
      </c>
      <c r="D93" s="1">
        <v>7</v>
      </c>
      <c r="E93" s="2">
        <v>46179</v>
      </c>
      <c r="F93" s="16">
        <v>0</v>
      </c>
      <c r="G93" s="16">
        <v>0</v>
      </c>
      <c r="H93" s="1">
        <v>1</v>
      </c>
      <c r="I93">
        <v>0</v>
      </c>
    </row>
    <row r="94" spans="1:9" x14ac:dyDescent="0.25">
      <c r="A94" s="1">
        <v>1</v>
      </c>
      <c r="B94" s="1">
        <v>93</v>
      </c>
      <c r="C94" s="1">
        <v>9</v>
      </c>
      <c r="D94" s="1">
        <v>1</v>
      </c>
      <c r="E94" s="2">
        <v>46179</v>
      </c>
      <c r="F94" s="16">
        <v>0</v>
      </c>
      <c r="G94" s="16">
        <v>0</v>
      </c>
      <c r="H94" s="1">
        <v>1</v>
      </c>
      <c r="I94">
        <v>0</v>
      </c>
    </row>
    <row r="95" spans="1:9" x14ac:dyDescent="0.25">
      <c r="A95" s="1">
        <v>0</v>
      </c>
      <c r="B95" s="1">
        <v>94</v>
      </c>
      <c r="C95" s="1">
        <v>902</v>
      </c>
      <c r="D95" s="1">
        <v>1</v>
      </c>
      <c r="E95" s="2">
        <v>46183</v>
      </c>
      <c r="F95" s="16">
        <v>0</v>
      </c>
      <c r="G95" s="16">
        <v>0</v>
      </c>
      <c r="H95" s="1">
        <v>2</v>
      </c>
      <c r="I95">
        <v>0</v>
      </c>
    </row>
    <row r="96" spans="1:9" x14ac:dyDescent="0.25">
      <c r="A96" s="1">
        <v>0</v>
      </c>
      <c r="B96" s="1">
        <v>95</v>
      </c>
      <c r="C96" s="1">
        <v>2</v>
      </c>
      <c r="D96" s="1">
        <v>11</v>
      </c>
      <c r="E96" s="2">
        <v>46183</v>
      </c>
      <c r="F96" s="16">
        <v>0</v>
      </c>
      <c r="G96" s="16">
        <v>0</v>
      </c>
      <c r="H96" s="1">
        <v>1</v>
      </c>
      <c r="I96">
        <v>0</v>
      </c>
    </row>
    <row r="97" spans="1:9" x14ac:dyDescent="0.25">
      <c r="A97" s="1">
        <v>0</v>
      </c>
      <c r="B97" s="1">
        <v>96</v>
      </c>
      <c r="C97" s="1">
        <v>4</v>
      </c>
      <c r="D97" s="1">
        <v>6</v>
      </c>
      <c r="E97" s="2">
        <v>46183</v>
      </c>
      <c r="F97" s="16">
        <v>0</v>
      </c>
      <c r="G97" s="16">
        <v>0</v>
      </c>
      <c r="H97" s="1">
        <v>1</v>
      </c>
      <c r="I97">
        <v>0</v>
      </c>
    </row>
    <row r="98" spans="1:9" x14ac:dyDescent="0.25">
      <c r="A98" s="1">
        <v>0</v>
      </c>
      <c r="B98" s="1">
        <v>97</v>
      </c>
      <c r="C98" s="1">
        <v>6</v>
      </c>
      <c r="D98" s="1">
        <v>4</v>
      </c>
      <c r="E98" s="2">
        <v>46183</v>
      </c>
      <c r="F98" s="16">
        <v>0</v>
      </c>
      <c r="G98" s="16">
        <v>0</v>
      </c>
      <c r="H98" s="1">
        <v>1</v>
      </c>
      <c r="I98">
        <v>0</v>
      </c>
    </row>
    <row r="99" spans="1:9" x14ac:dyDescent="0.25">
      <c r="A99" s="1">
        <v>0</v>
      </c>
      <c r="B99" s="1">
        <v>98</v>
      </c>
      <c r="C99" s="1">
        <v>7</v>
      </c>
      <c r="D99" s="1">
        <v>7</v>
      </c>
      <c r="E99" s="2">
        <v>46183</v>
      </c>
      <c r="F99" s="16">
        <v>0</v>
      </c>
      <c r="G99" s="16">
        <v>0</v>
      </c>
      <c r="H99" s="1">
        <v>2</v>
      </c>
      <c r="I99">
        <v>0</v>
      </c>
    </row>
    <row r="100" spans="1:9" x14ac:dyDescent="0.25">
      <c r="A100" s="1">
        <v>0</v>
      </c>
      <c r="B100" s="1">
        <v>99</v>
      </c>
      <c r="C100" s="1">
        <v>4</v>
      </c>
      <c r="D100" s="1">
        <v>2</v>
      </c>
      <c r="E100" s="2">
        <v>46185</v>
      </c>
      <c r="F100" s="16">
        <v>0</v>
      </c>
      <c r="G100" s="16">
        <v>0</v>
      </c>
      <c r="H100" s="1">
        <v>2</v>
      </c>
      <c r="I100">
        <v>0</v>
      </c>
    </row>
    <row r="101" spans="1:9" x14ac:dyDescent="0.25">
      <c r="A101" s="1">
        <v>0</v>
      </c>
      <c r="B101" s="1">
        <v>100</v>
      </c>
      <c r="C101" s="1">
        <v>5</v>
      </c>
      <c r="D101" s="1">
        <v>5</v>
      </c>
      <c r="E101" s="2">
        <v>46185</v>
      </c>
      <c r="F101" s="16">
        <v>0</v>
      </c>
      <c r="G101" s="16">
        <v>0</v>
      </c>
      <c r="H101" s="1">
        <v>2</v>
      </c>
      <c r="I101">
        <v>0</v>
      </c>
    </row>
    <row r="102" spans="1:9" x14ac:dyDescent="0.25">
      <c r="A102" s="1">
        <v>0</v>
      </c>
      <c r="B102" s="1">
        <v>101</v>
      </c>
      <c r="C102" s="1">
        <v>7</v>
      </c>
      <c r="D102" s="1">
        <v>4</v>
      </c>
      <c r="E102" s="2">
        <v>46185</v>
      </c>
      <c r="F102" s="16">
        <v>0</v>
      </c>
      <c r="G102" s="16">
        <v>0</v>
      </c>
      <c r="H102" s="1">
        <v>2</v>
      </c>
      <c r="I102">
        <v>0</v>
      </c>
    </row>
    <row r="103" spans="1:9" x14ac:dyDescent="0.25">
      <c r="A103" s="1">
        <v>0</v>
      </c>
      <c r="B103" s="1">
        <v>102</v>
      </c>
      <c r="C103" s="1">
        <v>8</v>
      </c>
      <c r="D103" s="1">
        <v>4</v>
      </c>
      <c r="E103" s="2">
        <v>46185</v>
      </c>
      <c r="F103" s="16">
        <v>0</v>
      </c>
      <c r="G103" s="16">
        <v>0</v>
      </c>
      <c r="H103" s="1">
        <v>2</v>
      </c>
      <c r="I103">
        <v>0</v>
      </c>
    </row>
    <row r="104" spans="1:9" x14ac:dyDescent="0.25">
      <c r="A104" s="1">
        <v>0</v>
      </c>
      <c r="B104" s="1">
        <v>103</v>
      </c>
      <c r="C104" s="1">
        <v>2</v>
      </c>
      <c r="D104" s="1">
        <v>380</v>
      </c>
      <c r="E104" s="2">
        <v>46185</v>
      </c>
      <c r="F104" s="16">
        <v>0.96736111111111101</v>
      </c>
      <c r="G104" s="21">
        <v>1.7361111111111112E-2</v>
      </c>
      <c r="H104" s="1">
        <v>1</v>
      </c>
      <c r="I104">
        <v>1</v>
      </c>
    </row>
    <row r="105" spans="1:9" x14ac:dyDescent="0.25">
      <c r="A105" s="1">
        <v>0</v>
      </c>
      <c r="B105" s="1">
        <v>104</v>
      </c>
      <c r="C105" s="1">
        <v>3</v>
      </c>
      <c r="D105" s="1">
        <v>26</v>
      </c>
      <c r="E105" s="2">
        <v>46185</v>
      </c>
      <c r="F105" s="16">
        <v>0.96736111111111101</v>
      </c>
      <c r="G105" s="21">
        <v>1.7361111111111112E-2</v>
      </c>
      <c r="H105" s="1">
        <v>1</v>
      </c>
      <c r="I105">
        <v>1</v>
      </c>
    </row>
    <row r="106" spans="1:9" x14ac:dyDescent="0.25">
      <c r="A106" s="1">
        <v>0</v>
      </c>
      <c r="B106" s="1">
        <v>105</v>
      </c>
      <c r="C106" s="1">
        <v>4</v>
      </c>
      <c r="D106" s="1">
        <v>96</v>
      </c>
      <c r="E106" s="2">
        <v>46185</v>
      </c>
      <c r="F106" s="16">
        <v>0.96736111111111101</v>
      </c>
      <c r="G106" s="21">
        <v>1.7361111111111101E-2</v>
      </c>
      <c r="H106" s="1">
        <v>1</v>
      </c>
      <c r="I106">
        <v>1</v>
      </c>
    </row>
    <row r="107" spans="1:9" x14ac:dyDescent="0.25">
      <c r="A107" s="1">
        <v>0</v>
      </c>
      <c r="B107" s="1">
        <v>106</v>
      </c>
      <c r="C107" s="1">
        <v>5</v>
      </c>
      <c r="D107" s="1">
        <v>24</v>
      </c>
      <c r="E107" s="2">
        <v>46185</v>
      </c>
      <c r="F107" s="16">
        <v>0.96736111111111101</v>
      </c>
      <c r="G107" s="21">
        <v>1.7361111111111101E-2</v>
      </c>
      <c r="H107" s="1">
        <v>1</v>
      </c>
      <c r="I107">
        <v>1</v>
      </c>
    </row>
    <row r="108" spans="1:9" x14ac:dyDescent="0.25">
      <c r="A108" s="1">
        <v>0</v>
      </c>
      <c r="B108" s="1">
        <v>107</v>
      </c>
      <c r="C108" s="1">
        <v>6</v>
      </c>
      <c r="D108" s="1">
        <v>98</v>
      </c>
      <c r="E108" s="2">
        <v>46185</v>
      </c>
      <c r="F108" s="16">
        <v>0.96736111111111101</v>
      </c>
      <c r="G108" s="21">
        <v>1.7361111111111101E-2</v>
      </c>
      <c r="H108" s="1">
        <v>1</v>
      </c>
      <c r="I108">
        <v>1</v>
      </c>
    </row>
    <row r="109" spans="1:9" x14ac:dyDescent="0.25">
      <c r="A109" s="1">
        <v>0</v>
      </c>
      <c r="B109" s="1">
        <v>108</v>
      </c>
      <c r="C109" s="1">
        <v>7</v>
      </c>
      <c r="D109" s="1">
        <v>19</v>
      </c>
      <c r="E109" s="2">
        <v>46185</v>
      </c>
      <c r="F109" s="16">
        <v>0.96736111111111101</v>
      </c>
      <c r="G109" s="21">
        <v>1.7361111111111101E-2</v>
      </c>
      <c r="H109" s="1">
        <v>1</v>
      </c>
      <c r="I109">
        <v>1</v>
      </c>
    </row>
    <row r="110" spans="1:9" x14ac:dyDescent="0.25">
      <c r="A110" s="1">
        <v>0</v>
      </c>
      <c r="B110" s="1">
        <v>109</v>
      </c>
      <c r="C110" s="1">
        <v>8</v>
      </c>
      <c r="D110" s="1">
        <v>24</v>
      </c>
      <c r="E110" s="2">
        <v>46185</v>
      </c>
      <c r="F110" s="16">
        <v>0.96736111111111101</v>
      </c>
      <c r="G110" s="21">
        <v>1.7361111111111101E-2</v>
      </c>
      <c r="H110" s="1">
        <v>1</v>
      </c>
      <c r="I110">
        <v>1</v>
      </c>
    </row>
    <row r="111" spans="1:9" x14ac:dyDescent="0.25">
      <c r="A111" s="1">
        <v>0</v>
      </c>
      <c r="B111" s="1">
        <v>110</v>
      </c>
      <c r="C111" s="1">
        <v>9</v>
      </c>
      <c r="D111" s="1">
        <v>3</v>
      </c>
      <c r="E111" s="2">
        <v>46185</v>
      </c>
      <c r="F111" s="16">
        <v>0.96736111111111101</v>
      </c>
      <c r="G111" s="21">
        <v>1.7361111111111101E-2</v>
      </c>
      <c r="H111" s="1">
        <v>1</v>
      </c>
      <c r="I111">
        <v>1</v>
      </c>
    </row>
    <row r="112" spans="1:9" x14ac:dyDescent="0.25">
      <c r="A112" s="1">
        <v>0</v>
      </c>
      <c r="B112" s="1">
        <v>111</v>
      </c>
      <c r="C112" s="1">
        <v>12</v>
      </c>
      <c r="D112" s="1">
        <v>3</v>
      </c>
      <c r="E112" s="2">
        <v>46185</v>
      </c>
      <c r="F112" s="16">
        <v>0.96736111111111101</v>
      </c>
      <c r="G112" s="21">
        <v>1.7361111111111101E-2</v>
      </c>
      <c r="H112" s="1">
        <v>1</v>
      </c>
      <c r="I112">
        <v>1</v>
      </c>
    </row>
    <row r="113" spans="1:9" x14ac:dyDescent="0.25">
      <c r="A113" s="1">
        <v>0</v>
      </c>
      <c r="B113" s="1">
        <v>112</v>
      </c>
      <c r="C113" s="1">
        <v>15</v>
      </c>
      <c r="D113" s="1">
        <v>1</v>
      </c>
      <c r="E113" s="2">
        <v>46185</v>
      </c>
      <c r="F113" s="16">
        <v>0.96736111111111101</v>
      </c>
      <c r="G113" s="21">
        <v>1.7361111111111101E-2</v>
      </c>
      <c r="H113" s="1">
        <v>1</v>
      </c>
      <c r="I113">
        <v>1</v>
      </c>
    </row>
    <row r="114" spans="1:9" x14ac:dyDescent="0.25">
      <c r="A114" s="1">
        <v>0</v>
      </c>
      <c r="B114" s="1">
        <v>113</v>
      </c>
      <c r="C114" s="1">
        <v>21</v>
      </c>
      <c r="D114" s="1">
        <v>1</v>
      </c>
      <c r="E114" s="2">
        <v>46185</v>
      </c>
      <c r="F114" s="16">
        <v>0.96736111111111101</v>
      </c>
      <c r="G114" s="21">
        <v>1.7361111111111101E-2</v>
      </c>
      <c r="H114" s="1">
        <v>1</v>
      </c>
      <c r="I114">
        <v>1</v>
      </c>
    </row>
    <row r="115" spans="1:9" x14ac:dyDescent="0.25">
      <c r="A115" s="1">
        <v>0</v>
      </c>
      <c r="B115" s="1">
        <v>114</v>
      </c>
      <c r="C115" s="1">
        <v>24</v>
      </c>
      <c r="D115" s="1">
        <v>1</v>
      </c>
      <c r="E115" s="2">
        <v>46185</v>
      </c>
      <c r="F115" s="16">
        <v>0.96736111111111101</v>
      </c>
      <c r="G115" s="21">
        <v>1.7361111111111101E-2</v>
      </c>
      <c r="H115" s="1">
        <v>1</v>
      </c>
      <c r="I115">
        <v>1</v>
      </c>
    </row>
    <row r="116" spans="1:9" x14ac:dyDescent="0.25">
      <c r="A116" s="1">
        <v>0</v>
      </c>
      <c r="B116" s="1">
        <v>115</v>
      </c>
      <c r="C116" s="1">
        <v>16</v>
      </c>
      <c r="D116" s="1">
        <v>1</v>
      </c>
      <c r="E116" s="2">
        <v>46185</v>
      </c>
      <c r="F116" s="16">
        <v>0.96736111111111101</v>
      </c>
      <c r="G116" s="21">
        <v>1.7361111111111101E-2</v>
      </c>
      <c r="H116" s="1">
        <v>1</v>
      </c>
      <c r="I116">
        <v>1</v>
      </c>
    </row>
    <row r="117" spans="1:9" x14ac:dyDescent="0.25">
      <c r="A117" s="1">
        <v>0</v>
      </c>
      <c r="B117" s="1">
        <v>116</v>
      </c>
      <c r="C117" s="1">
        <v>22</v>
      </c>
      <c r="D117" s="1">
        <v>1</v>
      </c>
      <c r="E117" s="2">
        <v>46185</v>
      </c>
      <c r="F117" s="16">
        <v>0.96736111111111101</v>
      </c>
      <c r="G117" s="21">
        <v>1.7361111111111101E-2</v>
      </c>
      <c r="H117" s="1">
        <v>1</v>
      </c>
      <c r="I117">
        <v>1</v>
      </c>
    </row>
    <row r="118" spans="1:9" x14ac:dyDescent="0.25">
      <c r="A118" s="1">
        <v>0</v>
      </c>
      <c r="B118" s="1">
        <v>117</v>
      </c>
      <c r="C118" s="1">
        <v>27</v>
      </c>
      <c r="D118" s="1">
        <v>4</v>
      </c>
      <c r="E118" s="2">
        <v>46190</v>
      </c>
      <c r="F118" s="16">
        <v>0</v>
      </c>
      <c r="G118" s="16">
        <v>0</v>
      </c>
      <c r="H118" s="1">
        <v>2</v>
      </c>
      <c r="I118">
        <v>0</v>
      </c>
    </row>
    <row r="119" spans="1:9" x14ac:dyDescent="0.25">
      <c r="B119" s="1"/>
      <c r="G119" s="22"/>
    </row>
    <row r="120" spans="1:9" x14ac:dyDescent="0.25">
      <c r="B120" s="1"/>
      <c r="G120" s="22"/>
    </row>
    <row r="121" spans="1:9" x14ac:dyDescent="0.25">
      <c r="B121" s="1"/>
      <c r="G121" s="22"/>
    </row>
    <row r="122" spans="1:9" x14ac:dyDescent="0.25">
      <c r="B122" s="1"/>
      <c r="G122" s="22"/>
    </row>
    <row r="123" spans="1:9" x14ac:dyDescent="0.25">
      <c r="B123" s="1"/>
      <c r="G123" s="22"/>
    </row>
    <row r="124" spans="1:9" x14ac:dyDescent="0.25">
      <c r="B124" s="1"/>
      <c r="G124" s="22"/>
    </row>
    <row r="125" spans="1:9" x14ac:dyDescent="0.25">
      <c r="B125" s="1"/>
      <c r="G125" s="22"/>
    </row>
    <row r="126" spans="1:9" x14ac:dyDescent="0.25">
      <c r="B126" s="1"/>
      <c r="G126" s="22"/>
    </row>
    <row r="127" spans="1:9" x14ac:dyDescent="0.25">
      <c r="B127" s="1"/>
      <c r="G127" s="22"/>
    </row>
    <row r="128" spans="1:9" x14ac:dyDescent="0.25">
      <c r="B128" s="1"/>
      <c r="G128" s="22"/>
    </row>
    <row r="129" spans="2:7" x14ac:dyDescent="0.25">
      <c r="B129" s="1"/>
      <c r="G129" s="22"/>
    </row>
    <row r="130" spans="2:7" x14ac:dyDescent="0.25">
      <c r="B130" s="1"/>
      <c r="G130" s="22"/>
    </row>
    <row r="131" spans="2:7" x14ac:dyDescent="0.25">
      <c r="B131" s="1"/>
      <c r="G131" s="22"/>
    </row>
    <row r="132" spans="2:7" x14ac:dyDescent="0.25">
      <c r="B132" s="1"/>
      <c r="G132" s="22"/>
    </row>
    <row r="133" spans="2:7" x14ac:dyDescent="0.25">
      <c r="B133" s="1"/>
      <c r="G133" s="22"/>
    </row>
    <row r="134" spans="2:7" x14ac:dyDescent="0.25">
      <c r="B134" s="1"/>
      <c r="G134" s="22"/>
    </row>
    <row r="135" spans="2:7" x14ac:dyDescent="0.25">
      <c r="B135" s="1"/>
      <c r="G135" s="22"/>
    </row>
    <row r="136" spans="2:7" x14ac:dyDescent="0.25">
      <c r="B136" s="1"/>
      <c r="G136" s="22"/>
    </row>
    <row r="137" spans="2:7" x14ac:dyDescent="0.25">
      <c r="B137" s="1"/>
      <c r="G137" s="22"/>
    </row>
    <row r="138" spans="2:7" x14ac:dyDescent="0.25">
      <c r="B138" s="1"/>
      <c r="G138" s="22"/>
    </row>
    <row r="139" spans="2:7" x14ac:dyDescent="0.25">
      <c r="B139" s="1"/>
      <c r="G139" s="22"/>
    </row>
    <row r="140" spans="2:7" x14ac:dyDescent="0.25">
      <c r="B140" s="1"/>
      <c r="G140" s="22"/>
    </row>
    <row r="141" spans="2:7" x14ac:dyDescent="0.25">
      <c r="B141" s="1"/>
      <c r="G141" s="22"/>
    </row>
    <row r="142" spans="2:7" x14ac:dyDescent="0.25">
      <c r="B142" s="1"/>
      <c r="G142" s="22"/>
    </row>
    <row r="143" spans="2:7" x14ac:dyDescent="0.25">
      <c r="B143" s="1"/>
      <c r="G143" s="22"/>
    </row>
    <row r="144" spans="2:7" x14ac:dyDescent="0.25">
      <c r="B144" s="1"/>
      <c r="G144" s="22"/>
    </row>
    <row r="145" spans="2:7" x14ac:dyDescent="0.25">
      <c r="B145" s="1"/>
      <c r="G145" s="22"/>
    </row>
    <row r="146" spans="2:7" x14ac:dyDescent="0.25">
      <c r="B146" s="1"/>
      <c r="G146" s="22"/>
    </row>
    <row r="147" spans="2:7" x14ac:dyDescent="0.25">
      <c r="B147" s="1"/>
      <c r="G147" s="22"/>
    </row>
    <row r="148" spans="2:7" x14ac:dyDescent="0.25">
      <c r="B148" s="1"/>
      <c r="G148" s="22"/>
    </row>
    <row r="149" spans="2:7" x14ac:dyDescent="0.25">
      <c r="B149" s="1"/>
      <c r="G149" s="22"/>
    </row>
    <row r="150" spans="2:7" x14ac:dyDescent="0.25">
      <c r="B150" s="1"/>
      <c r="G150" s="22"/>
    </row>
    <row r="151" spans="2:7" x14ac:dyDescent="0.25">
      <c r="B151" s="1"/>
      <c r="G151" s="22"/>
    </row>
    <row r="152" spans="2:7" x14ac:dyDescent="0.25">
      <c r="B152" s="1"/>
      <c r="G152" s="22"/>
    </row>
    <row r="153" spans="2:7" x14ac:dyDescent="0.25">
      <c r="B153" s="1"/>
      <c r="G153" s="22"/>
    </row>
    <row r="154" spans="2:7" x14ac:dyDescent="0.25">
      <c r="B154" s="1"/>
      <c r="G154" s="22"/>
    </row>
    <row r="155" spans="2:7" x14ac:dyDescent="0.25">
      <c r="B155" s="1"/>
      <c r="G155" s="22"/>
    </row>
    <row r="156" spans="2:7" x14ac:dyDescent="0.25">
      <c r="B156" s="1"/>
      <c r="G156" s="22"/>
    </row>
    <row r="157" spans="2:7" x14ac:dyDescent="0.25">
      <c r="B157" s="1"/>
      <c r="G157" s="22"/>
    </row>
    <row r="158" spans="2:7" x14ac:dyDescent="0.25">
      <c r="B158" s="1"/>
      <c r="G158" s="22"/>
    </row>
    <row r="159" spans="2:7" x14ac:dyDescent="0.25">
      <c r="B159" s="1"/>
      <c r="G159" s="22"/>
    </row>
    <row r="160" spans="2:7" x14ac:dyDescent="0.25">
      <c r="B160" s="1"/>
      <c r="G160" s="22"/>
    </row>
    <row r="161" spans="2:7" x14ac:dyDescent="0.25">
      <c r="B161" s="1"/>
      <c r="G161" s="22"/>
    </row>
    <row r="162" spans="2:7" x14ac:dyDescent="0.25">
      <c r="B162" s="1"/>
      <c r="G162" s="22"/>
    </row>
    <row r="163" spans="2:7" x14ac:dyDescent="0.25">
      <c r="B163" s="1"/>
      <c r="G163" s="22"/>
    </row>
    <row r="164" spans="2:7" x14ac:dyDescent="0.25">
      <c r="B164" s="1"/>
      <c r="G164" s="22"/>
    </row>
    <row r="165" spans="2:7" x14ac:dyDescent="0.25">
      <c r="B165" s="1"/>
      <c r="G165" s="22"/>
    </row>
    <row r="166" spans="2:7" x14ac:dyDescent="0.25">
      <c r="B166" s="1"/>
      <c r="G166" s="22"/>
    </row>
    <row r="167" spans="2:7" x14ac:dyDescent="0.25">
      <c r="B167" s="1"/>
      <c r="G167" s="22"/>
    </row>
    <row r="168" spans="2:7" x14ac:dyDescent="0.25">
      <c r="B168" s="1"/>
      <c r="G168" s="22"/>
    </row>
    <row r="169" spans="2:7" x14ac:dyDescent="0.25">
      <c r="B169" s="1"/>
      <c r="G169" s="22"/>
    </row>
    <row r="170" spans="2:7" x14ac:dyDescent="0.25">
      <c r="B170" s="1"/>
      <c r="G170" s="22"/>
    </row>
    <row r="171" spans="2:7" x14ac:dyDescent="0.25">
      <c r="B171" s="1"/>
      <c r="G171" s="22"/>
    </row>
    <row r="172" spans="2:7" x14ac:dyDescent="0.25">
      <c r="B172" s="1"/>
      <c r="G172" s="22"/>
    </row>
    <row r="173" spans="2:7" x14ac:dyDescent="0.25">
      <c r="B173" s="1"/>
      <c r="G173" s="22"/>
    </row>
    <row r="174" spans="2:7" x14ac:dyDescent="0.25">
      <c r="B174" s="1"/>
      <c r="G174" s="22"/>
    </row>
    <row r="175" spans="2:7" x14ac:dyDescent="0.25">
      <c r="B175" s="1"/>
      <c r="G175" s="22"/>
    </row>
    <row r="176" spans="2:7" x14ac:dyDescent="0.25">
      <c r="B176" s="1"/>
      <c r="G176" s="22"/>
    </row>
    <row r="177" spans="2:7" x14ac:dyDescent="0.25">
      <c r="B177" s="1"/>
      <c r="G177" s="22"/>
    </row>
    <row r="178" spans="2:7" x14ac:dyDescent="0.25">
      <c r="B178" s="1"/>
      <c r="G178" s="22"/>
    </row>
    <row r="179" spans="2:7" x14ac:dyDescent="0.25">
      <c r="B179" s="1"/>
      <c r="G179" s="22"/>
    </row>
    <row r="180" spans="2:7" x14ac:dyDescent="0.25">
      <c r="B180" s="1"/>
      <c r="G180" s="22"/>
    </row>
    <row r="181" spans="2:7" x14ac:dyDescent="0.25">
      <c r="B181" s="1"/>
      <c r="G181" s="22"/>
    </row>
    <row r="182" spans="2:7" x14ac:dyDescent="0.25">
      <c r="B182" s="1"/>
      <c r="G182" s="22"/>
    </row>
    <row r="183" spans="2:7" x14ac:dyDescent="0.25">
      <c r="B183" s="1"/>
      <c r="G183" s="22"/>
    </row>
    <row r="184" spans="2:7" x14ac:dyDescent="0.25">
      <c r="B184" s="1"/>
      <c r="G184" s="22"/>
    </row>
    <row r="185" spans="2:7" x14ac:dyDescent="0.25">
      <c r="B185" s="1"/>
      <c r="G185" s="22"/>
    </row>
    <row r="186" spans="2:7" x14ac:dyDescent="0.25">
      <c r="B186" s="1"/>
      <c r="G186" s="22"/>
    </row>
    <row r="187" spans="2:7" x14ac:dyDescent="0.25">
      <c r="B187" s="1"/>
      <c r="G187" s="22"/>
    </row>
    <row r="188" spans="2:7" x14ac:dyDescent="0.25">
      <c r="B188" s="1"/>
      <c r="G188" s="22"/>
    </row>
    <row r="189" spans="2:7" x14ac:dyDescent="0.25">
      <c r="B189" s="1"/>
      <c r="G189" s="22"/>
    </row>
    <row r="190" spans="2:7" x14ac:dyDescent="0.25">
      <c r="B190" s="1"/>
      <c r="G190" s="22"/>
    </row>
    <row r="191" spans="2:7" x14ac:dyDescent="0.25">
      <c r="B191" s="1"/>
      <c r="G191" s="22"/>
    </row>
    <row r="192" spans="2:7" x14ac:dyDescent="0.25">
      <c r="B192" s="1"/>
      <c r="G192" s="22"/>
    </row>
    <row r="193" spans="2:7" x14ac:dyDescent="0.25">
      <c r="B193" s="1"/>
      <c r="G193" s="22"/>
    </row>
    <row r="194" spans="2:7" x14ac:dyDescent="0.25">
      <c r="B194" s="1"/>
      <c r="G194" s="22"/>
    </row>
    <row r="195" spans="2:7" x14ac:dyDescent="0.25">
      <c r="B195" s="1"/>
      <c r="G195" s="22"/>
    </row>
    <row r="196" spans="2:7" x14ac:dyDescent="0.25">
      <c r="B196" s="1"/>
      <c r="G196" s="22"/>
    </row>
    <row r="197" spans="2:7" x14ac:dyDescent="0.25">
      <c r="B197" s="1"/>
      <c r="G197" s="22"/>
    </row>
    <row r="198" spans="2:7" x14ac:dyDescent="0.25">
      <c r="B198" s="1"/>
      <c r="G198" s="22"/>
    </row>
    <row r="199" spans="2:7" x14ac:dyDescent="0.25">
      <c r="B199" s="1"/>
      <c r="G199" s="22"/>
    </row>
    <row r="200" spans="2:7" x14ac:dyDescent="0.25">
      <c r="B200" s="1"/>
      <c r="G200" s="22"/>
    </row>
    <row r="201" spans="2:7" x14ac:dyDescent="0.25">
      <c r="B201" s="1"/>
      <c r="G201" s="22"/>
    </row>
    <row r="202" spans="2:7" x14ac:dyDescent="0.25">
      <c r="B202" s="1"/>
      <c r="G202" s="22"/>
    </row>
    <row r="203" spans="2:7" x14ac:dyDescent="0.25">
      <c r="B203" s="1"/>
      <c r="G203" s="22"/>
    </row>
    <row r="204" spans="2:7" x14ac:dyDescent="0.25">
      <c r="B204" s="1"/>
      <c r="G204" s="22"/>
    </row>
    <row r="205" spans="2:7" x14ac:dyDescent="0.25">
      <c r="B205" s="1"/>
      <c r="G205" s="22"/>
    </row>
    <row r="206" spans="2:7" x14ac:dyDescent="0.25">
      <c r="B206" s="1"/>
      <c r="G206" s="22"/>
    </row>
    <row r="207" spans="2:7" x14ac:dyDescent="0.25">
      <c r="B207" s="1"/>
      <c r="G207" s="22"/>
    </row>
    <row r="208" spans="2:7" x14ac:dyDescent="0.25">
      <c r="B208" s="1"/>
      <c r="G208" s="22"/>
    </row>
    <row r="209" spans="2:7" x14ac:dyDescent="0.25">
      <c r="B209" s="1"/>
      <c r="G209" s="22"/>
    </row>
    <row r="210" spans="2:7" x14ac:dyDescent="0.25">
      <c r="B210" s="1"/>
      <c r="G210" s="22"/>
    </row>
    <row r="211" spans="2:7" x14ac:dyDescent="0.25">
      <c r="B211" s="1"/>
      <c r="G211" s="22"/>
    </row>
    <row r="212" spans="2:7" x14ac:dyDescent="0.25">
      <c r="B212" s="1"/>
      <c r="G212" s="22"/>
    </row>
    <row r="213" spans="2:7" x14ac:dyDescent="0.25">
      <c r="B213" s="1"/>
      <c r="G213" s="22"/>
    </row>
    <row r="214" spans="2:7" x14ac:dyDescent="0.25">
      <c r="B214" s="1"/>
      <c r="G214" s="22"/>
    </row>
    <row r="215" spans="2:7" x14ac:dyDescent="0.25">
      <c r="B215" s="1"/>
      <c r="G215" s="22"/>
    </row>
    <row r="216" spans="2:7" x14ac:dyDescent="0.25">
      <c r="B216" s="1"/>
      <c r="G216" s="22"/>
    </row>
    <row r="217" spans="2:7" x14ac:dyDescent="0.25">
      <c r="B217" s="1"/>
      <c r="G217" s="22"/>
    </row>
    <row r="218" spans="2:7" x14ac:dyDescent="0.25">
      <c r="B218" s="1"/>
      <c r="G218" s="22"/>
    </row>
    <row r="219" spans="2:7" x14ac:dyDescent="0.25">
      <c r="B219" s="1"/>
      <c r="G219" s="22"/>
    </row>
    <row r="220" spans="2:7" x14ac:dyDescent="0.25">
      <c r="B220" s="1"/>
      <c r="G220" s="22"/>
    </row>
    <row r="221" spans="2:7" x14ac:dyDescent="0.25">
      <c r="B221" s="1"/>
      <c r="G221" s="22"/>
    </row>
    <row r="222" spans="2:7" x14ac:dyDescent="0.25">
      <c r="B222" s="1"/>
      <c r="G222" s="22"/>
    </row>
    <row r="223" spans="2:7" x14ac:dyDescent="0.25">
      <c r="B223" s="1"/>
      <c r="G223" s="22"/>
    </row>
    <row r="224" spans="2:7" x14ac:dyDescent="0.25">
      <c r="B224" s="1"/>
      <c r="G224" s="22"/>
    </row>
    <row r="225" spans="2:7" x14ac:dyDescent="0.25">
      <c r="B225" s="1"/>
      <c r="G225" s="22"/>
    </row>
    <row r="226" spans="2:7" x14ac:dyDescent="0.25">
      <c r="B226" s="1"/>
      <c r="G226" s="22"/>
    </row>
    <row r="227" spans="2:7" x14ac:dyDescent="0.25">
      <c r="B227" s="1"/>
      <c r="G227" s="22"/>
    </row>
    <row r="228" spans="2:7" x14ac:dyDescent="0.25">
      <c r="B228" s="1"/>
      <c r="G228" s="22"/>
    </row>
    <row r="229" spans="2:7" x14ac:dyDescent="0.25">
      <c r="B229" s="1"/>
      <c r="G229" s="22"/>
    </row>
    <row r="230" spans="2:7" x14ac:dyDescent="0.25">
      <c r="B230" s="1"/>
      <c r="G230" s="22"/>
    </row>
    <row r="231" spans="2:7" x14ac:dyDescent="0.25">
      <c r="B231" s="1"/>
      <c r="G231" s="22"/>
    </row>
    <row r="232" spans="2:7" x14ac:dyDescent="0.25">
      <c r="B232" s="1"/>
      <c r="G232" s="22"/>
    </row>
    <row r="233" spans="2:7" x14ac:dyDescent="0.25">
      <c r="B233" s="1"/>
      <c r="G233" s="22"/>
    </row>
    <row r="234" spans="2:7" x14ac:dyDescent="0.25">
      <c r="B234" s="1"/>
      <c r="G234" s="22"/>
    </row>
    <row r="235" spans="2:7" x14ac:dyDescent="0.25">
      <c r="B235" s="1"/>
      <c r="G235" s="22"/>
    </row>
    <row r="236" spans="2:7" x14ac:dyDescent="0.25">
      <c r="B236" s="1"/>
      <c r="G236" s="22"/>
    </row>
    <row r="237" spans="2:7" x14ac:dyDescent="0.25">
      <c r="B237" s="1"/>
      <c r="G237" s="22"/>
    </row>
    <row r="238" spans="2:7" x14ac:dyDescent="0.25">
      <c r="B238" s="1"/>
      <c r="G238" s="22"/>
    </row>
    <row r="239" spans="2:7" x14ac:dyDescent="0.25">
      <c r="B239" s="1"/>
      <c r="G239" s="22"/>
    </row>
    <row r="240" spans="2:7" x14ac:dyDescent="0.25">
      <c r="B240" s="1"/>
      <c r="G240" s="22"/>
    </row>
    <row r="241" spans="2:7" x14ac:dyDescent="0.25">
      <c r="B241" s="1"/>
      <c r="G241" s="22"/>
    </row>
    <row r="242" spans="2:7" x14ac:dyDescent="0.25">
      <c r="B242" s="1"/>
      <c r="G242" s="22"/>
    </row>
    <row r="243" spans="2:7" x14ac:dyDescent="0.25">
      <c r="B243" s="1"/>
      <c r="G243" s="22"/>
    </row>
    <row r="244" spans="2:7" x14ac:dyDescent="0.25">
      <c r="B244" s="1"/>
      <c r="G244" s="22"/>
    </row>
    <row r="245" spans="2:7" x14ac:dyDescent="0.25">
      <c r="B245" s="1"/>
      <c r="G245" s="22"/>
    </row>
    <row r="246" spans="2:7" x14ac:dyDescent="0.25">
      <c r="B246" s="1"/>
      <c r="G246" s="22"/>
    </row>
    <row r="247" spans="2:7" x14ac:dyDescent="0.25">
      <c r="B247" s="1"/>
      <c r="G247" s="22"/>
    </row>
    <row r="248" spans="2:7" x14ac:dyDescent="0.25">
      <c r="B248" s="1"/>
      <c r="G248" s="22"/>
    </row>
    <row r="249" spans="2:7" x14ac:dyDescent="0.25">
      <c r="B249" s="1"/>
      <c r="G249" s="22"/>
    </row>
    <row r="250" spans="2:7" x14ac:dyDescent="0.25">
      <c r="B250" s="1"/>
      <c r="G250" s="22"/>
    </row>
    <row r="251" spans="2:7" x14ac:dyDescent="0.25">
      <c r="B251" s="1"/>
      <c r="G251" s="22"/>
    </row>
    <row r="252" spans="2:7" x14ac:dyDescent="0.25">
      <c r="B252" s="1"/>
      <c r="G252" s="22"/>
    </row>
    <row r="253" spans="2:7" x14ac:dyDescent="0.25">
      <c r="B253" s="1"/>
      <c r="G253" s="22"/>
    </row>
    <row r="254" spans="2:7" x14ac:dyDescent="0.25">
      <c r="B254" s="1"/>
      <c r="G254" s="22"/>
    </row>
    <row r="255" spans="2:7" x14ac:dyDescent="0.25">
      <c r="B255" s="1"/>
      <c r="G255" s="22"/>
    </row>
    <row r="256" spans="2:7" x14ac:dyDescent="0.25">
      <c r="B256" s="1"/>
      <c r="G256" s="22"/>
    </row>
    <row r="257" spans="2:7" x14ac:dyDescent="0.25">
      <c r="B257" s="1"/>
      <c r="G257" s="22"/>
    </row>
    <row r="258" spans="2:7" x14ac:dyDescent="0.25">
      <c r="B258" s="1"/>
      <c r="G258" s="22"/>
    </row>
    <row r="259" spans="2:7" x14ac:dyDescent="0.25">
      <c r="B259" s="1"/>
      <c r="G259" s="22"/>
    </row>
    <row r="260" spans="2:7" x14ac:dyDescent="0.25">
      <c r="B260" s="1"/>
      <c r="G260" s="22"/>
    </row>
    <row r="261" spans="2:7" x14ac:dyDescent="0.25">
      <c r="B261" s="1"/>
      <c r="G261" s="22"/>
    </row>
    <row r="262" spans="2:7" x14ac:dyDescent="0.25">
      <c r="B262" s="1"/>
      <c r="G262" s="22"/>
    </row>
    <row r="263" spans="2:7" x14ac:dyDescent="0.25">
      <c r="B263" s="1"/>
      <c r="G263" s="22"/>
    </row>
    <row r="264" spans="2:7" x14ac:dyDescent="0.25">
      <c r="B264" s="1"/>
      <c r="G264" s="22"/>
    </row>
    <row r="265" spans="2:7" x14ac:dyDescent="0.25">
      <c r="B265" s="1"/>
      <c r="G265" s="22"/>
    </row>
    <row r="266" spans="2:7" x14ac:dyDescent="0.25">
      <c r="B266" s="1"/>
      <c r="G266" s="22"/>
    </row>
    <row r="267" spans="2:7" x14ac:dyDescent="0.25">
      <c r="B267" s="1"/>
      <c r="G267" s="22"/>
    </row>
    <row r="268" spans="2:7" x14ac:dyDescent="0.25">
      <c r="B268" s="1"/>
      <c r="G268" s="22"/>
    </row>
    <row r="269" spans="2:7" x14ac:dyDescent="0.25">
      <c r="B269" s="1"/>
      <c r="G269" s="22"/>
    </row>
    <row r="270" spans="2:7" x14ac:dyDescent="0.25">
      <c r="B270" s="1"/>
      <c r="G270" s="22"/>
    </row>
    <row r="271" spans="2:7" x14ac:dyDescent="0.25">
      <c r="B271" s="1"/>
      <c r="G271" s="22"/>
    </row>
    <row r="272" spans="2:7" x14ac:dyDescent="0.25">
      <c r="B272" s="1"/>
      <c r="G272" s="22"/>
    </row>
    <row r="273" spans="2:7" x14ac:dyDescent="0.25">
      <c r="B273" s="1"/>
      <c r="G273" s="22"/>
    </row>
    <row r="274" spans="2:7" x14ac:dyDescent="0.25">
      <c r="B274" s="1"/>
      <c r="G274" s="22"/>
    </row>
    <row r="275" spans="2:7" x14ac:dyDescent="0.25">
      <c r="B275" s="1"/>
      <c r="G275" s="22"/>
    </row>
    <row r="276" spans="2:7" x14ac:dyDescent="0.25">
      <c r="B276" s="1"/>
      <c r="G276" s="22"/>
    </row>
    <row r="277" spans="2:7" x14ac:dyDescent="0.25">
      <c r="B277" s="1"/>
      <c r="G277" s="22"/>
    </row>
    <row r="278" spans="2:7" x14ac:dyDescent="0.25">
      <c r="B278" s="1"/>
      <c r="G278" s="22"/>
    </row>
    <row r="279" spans="2:7" x14ac:dyDescent="0.25">
      <c r="B279" s="1"/>
      <c r="G279" s="22"/>
    </row>
    <row r="280" spans="2:7" x14ac:dyDescent="0.25">
      <c r="B280" s="1"/>
      <c r="G280" s="22"/>
    </row>
    <row r="281" spans="2:7" x14ac:dyDescent="0.25">
      <c r="B281" s="1"/>
      <c r="G281" s="22"/>
    </row>
    <row r="282" spans="2:7" x14ac:dyDescent="0.25">
      <c r="B282" s="1"/>
      <c r="G282" s="22"/>
    </row>
    <row r="283" spans="2:7" x14ac:dyDescent="0.25">
      <c r="B283" s="1"/>
      <c r="G283" s="22"/>
    </row>
    <row r="284" spans="2:7" x14ac:dyDescent="0.25">
      <c r="B284" s="1"/>
      <c r="G284" s="22"/>
    </row>
    <row r="285" spans="2:7" x14ac:dyDescent="0.25">
      <c r="B285" s="1"/>
      <c r="G285" s="22"/>
    </row>
    <row r="286" spans="2:7" x14ac:dyDescent="0.25">
      <c r="B286" s="1"/>
      <c r="G286" s="22"/>
    </row>
    <row r="287" spans="2:7" x14ac:dyDescent="0.25">
      <c r="B287" s="1"/>
      <c r="G287" s="22"/>
    </row>
    <row r="288" spans="2:7" x14ac:dyDescent="0.25">
      <c r="B288" s="1"/>
      <c r="G288" s="22"/>
    </row>
    <row r="289" spans="2:7" x14ac:dyDescent="0.25">
      <c r="B289" s="1"/>
      <c r="G289" s="22"/>
    </row>
    <row r="290" spans="2:7" x14ac:dyDescent="0.25">
      <c r="B290" s="1"/>
      <c r="G290" s="22"/>
    </row>
    <row r="291" spans="2:7" x14ac:dyDescent="0.25">
      <c r="B291" s="1"/>
      <c r="G291" s="22"/>
    </row>
    <row r="292" spans="2:7" x14ac:dyDescent="0.25">
      <c r="B292" s="1"/>
      <c r="G292" s="22"/>
    </row>
    <row r="293" spans="2:7" x14ac:dyDescent="0.25">
      <c r="B293" s="1"/>
      <c r="G293" s="22"/>
    </row>
    <row r="294" spans="2:7" x14ac:dyDescent="0.25">
      <c r="B294" s="1"/>
      <c r="G294" s="22"/>
    </row>
    <row r="295" spans="2:7" x14ac:dyDescent="0.25">
      <c r="B295" s="1"/>
      <c r="G295" s="22"/>
    </row>
    <row r="296" spans="2:7" x14ac:dyDescent="0.25">
      <c r="B296" s="1"/>
      <c r="G296" s="22"/>
    </row>
    <row r="297" spans="2:7" x14ac:dyDescent="0.25">
      <c r="B297" s="1"/>
      <c r="G297" s="22"/>
    </row>
    <row r="298" spans="2:7" x14ac:dyDescent="0.25">
      <c r="B298" s="1"/>
      <c r="G298" s="22"/>
    </row>
    <row r="299" spans="2:7" x14ac:dyDescent="0.25">
      <c r="B299" s="1"/>
      <c r="G299" s="22"/>
    </row>
    <row r="300" spans="2:7" x14ac:dyDescent="0.25">
      <c r="B300" s="1"/>
      <c r="G300" s="22"/>
    </row>
    <row r="301" spans="2:7" x14ac:dyDescent="0.25">
      <c r="B301" s="1"/>
      <c r="G301" s="22"/>
    </row>
    <row r="302" spans="2:7" x14ac:dyDescent="0.25">
      <c r="B302" s="1"/>
      <c r="G302" s="22"/>
    </row>
    <row r="303" spans="2:7" x14ac:dyDescent="0.25">
      <c r="B303" s="1"/>
      <c r="G303" s="22"/>
    </row>
    <row r="304" spans="2:7" x14ac:dyDescent="0.25">
      <c r="B304" s="1"/>
      <c r="G304" s="22"/>
    </row>
    <row r="305" spans="2:7" x14ac:dyDescent="0.25">
      <c r="B305" s="1"/>
      <c r="G305" s="22"/>
    </row>
    <row r="306" spans="2:7" x14ac:dyDescent="0.25">
      <c r="B306" s="1"/>
      <c r="G306" s="22"/>
    </row>
    <row r="307" spans="2:7" x14ac:dyDescent="0.25">
      <c r="B307" s="1"/>
      <c r="G307" s="22"/>
    </row>
    <row r="308" spans="2:7" x14ac:dyDescent="0.25">
      <c r="B308" s="1"/>
      <c r="G308" s="22"/>
    </row>
    <row r="309" spans="2:7" x14ac:dyDescent="0.25">
      <c r="B309" s="1"/>
      <c r="G309" s="22"/>
    </row>
    <row r="310" spans="2:7" x14ac:dyDescent="0.25">
      <c r="B310" s="1"/>
      <c r="G310" s="22"/>
    </row>
    <row r="311" spans="2:7" x14ac:dyDescent="0.25">
      <c r="B311" s="1"/>
      <c r="G311" s="22"/>
    </row>
    <row r="312" spans="2:7" x14ac:dyDescent="0.25">
      <c r="B312" s="1"/>
      <c r="G312" s="22"/>
    </row>
    <row r="313" spans="2:7" x14ac:dyDescent="0.25">
      <c r="B313" s="1"/>
      <c r="G313" s="22"/>
    </row>
    <row r="314" spans="2:7" x14ac:dyDescent="0.25">
      <c r="B314" s="1"/>
      <c r="G314" s="22"/>
    </row>
    <row r="315" spans="2:7" x14ac:dyDescent="0.25">
      <c r="B315" s="1"/>
      <c r="G315" s="22"/>
    </row>
    <row r="316" spans="2:7" x14ac:dyDescent="0.25">
      <c r="B316" s="1"/>
      <c r="G316" s="22"/>
    </row>
    <row r="317" spans="2:7" x14ac:dyDescent="0.25">
      <c r="B317" s="1"/>
      <c r="G317" s="22"/>
    </row>
    <row r="318" spans="2:7" x14ac:dyDescent="0.25">
      <c r="B318" s="1"/>
      <c r="G318" s="22"/>
    </row>
    <row r="319" spans="2:7" x14ac:dyDescent="0.25">
      <c r="B319" s="1"/>
      <c r="G319" s="22"/>
    </row>
    <row r="320" spans="2:7" x14ac:dyDescent="0.25">
      <c r="B320" s="1"/>
      <c r="G320" s="22"/>
    </row>
    <row r="321" spans="2:7" x14ac:dyDescent="0.25">
      <c r="B321" s="1"/>
      <c r="G321" s="22"/>
    </row>
    <row r="322" spans="2:7" x14ac:dyDescent="0.25">
      <c r="B322" s="1"/>
      <c r="G322" s="22"/>
    </row>
    <row r="323" spans="2:7" x14ac:dyDescent="0.25">
      <c r="B323" s="1"/>
      <c r="G323" s="22"/>
    </row>
    <row r="324" spans="2:7" x14ac:dyDescent="0.25">
      <c r="B324" s="1"/>
      <c r="G324" s="22"/>
    </row>
    <row r="325" spans="2:7" x14ac:dyDescent="0.25">
      <c r="B325" s="1"/>
      <c r="G325" s="22"/>
    </row>
    <row r="326" spans="2:7" x14ac:dyDescent="0.25">
      <c r="B326" s="1"/>
      <c r="G326" s="22"/>
    </row>
    <row r="327" spans="2:7" x14ac:dyDescent="0.25">
      <c r="B327" s="1"/>
      <c r="G327" s="22"/>
    </row>
    <row r="328" spans="2:7" x14ac:dyDescent="0.25">
      <c r="B328" s="1"/>
      <c r="G328" s="22"/>
    </row>
    <row r="329" spans="2:7" x14ac:dyDescent="0.25">
      <c r="B329" s="1"/>
      <c r="G329" s="22"/>
    </row>
    <row r="330" spans="2:7" x14ac:dyDescent="0.25">
      <c r="B330" s="1"/>
      <c r="G330" s="22"/>
    </row>
    <row r="331" spans="2:7" x14ac:dyDescent="0.25">
      <c r="B331" s="1"/>
      <c r="G331" s="22"/>
    </row>
    <row r="332" spans="2:7" x14ac:dyDescent="0.25">
      <c r="B332" s="1"/>
      <c r="G332" s="22"/>
    </row>
    <row r="333" spans="2:7" x14ac:dyDescent="0.25">
      <c r="B333" s="1"/>
      <c r="G333" s="22"/>
    </row>
    <row r="334" spans="2:7" x14ac:dyDescent="0.25">
      <c r="B334" s="1"/>
      <c r="G334" s="22"/>
    </row>
    <row r="335" spans="2:7" x14ac:dyDescent="0.25">
      <c r="B335" s="1"/>
      <c r="G335" s="22"/>
    </row>
    <row r="336" spans="2:7" x14ac:dyDescent="0.25">
      <c r="B336" s="1"/>
      <c r="G336" s="22"/>
    </row>
    <row r="337" spans="2:7" x14ac:dyDescent="0.25">
      <c r="B337" s="1"/>
      <c r="G337" s="22"/>
    </row>
    <row r="338" spans="2:7" x14ac:dyDescent="0.25">
      <c r="B338" s="1"/>
      <c r="G338" s="22"/>
    </row>
    <row r="339" spans="2:7" x14ac:dyDescent="0.25">
      <c r="B339" s="1"/>
      <c r="G339" s="22"/>
    </row>
    <row r="340" spans="2:7" x14ac:dyDescent="0.25">
      <c r="B340" s="1"/>
      <c r="G340" s="22"/>
    </row>
    <row r="341" spans="2:7" x14ac:dyDescent="0.25">
      <c r="B341" s="1"/>
      <c r="G341" s="22"/>
    </row>
    <row r="342" spans="2:7" x14ac:dyDescent="0.25">
      <c r="B342" s="1"/>
      <c r="G342" s="22"/>
    </row>
    <row r="343" spans="2:7" x14ac:dyDescent="0.25">
      <c r="B343" s="1"/>
      <c r="G343" s="22"/>
    </row>
    <row r="344" spans="2:7" x14ac:dyDescent="0.25">
      <c r="B344" s="1"/>
      <c r="G344" s="22"/>
    </row>
    <row r="345" spans="2:7" x14ac:dyDescent="0.25">
      <c r="B345" s="1"/>
      <c r="G345" s="22"/>
    </row>
    <row r="346" spans="2:7" x14ac:dyDescent="0.25">
      <c r="B346" s="1"/>
      <c r="G346" s="22"/>
    </row>
    <row r="347" spans="2:7" x14ac:dyDescent="0.25">
      <c r="B347" s="1"/>
      <c r="G347" s="22"/>
    </row>
    <row r="348" spans="2:7" x14ac:dyDescent="0.25">
      <c r="B348" s="1"/>
      <c r="G348" s="22"/>
    </row>
    <row r="349" spans="2:7" x14ac:dyDescent="0.25">
      <c r="B349" s="1"/>
      <c r="G349" s="22"/>
    </row>
    <row r="350" spans="2:7" x14ac:dyDescent="0.25">
      <c r="B350" s="1"/>
      <c r="G350" s="22"/>
    </row>
    <row r="351" spans="2:7" x14ac:dyDescent="0.25">
      <c r="B351" s="1"/>
      <c r="G351" s="22"/>
    </row>
    <row r="352" spans="2:7" x14ac:dyDescent="0.25">
      <c r="B352" s="1"/>
      <c r="G352" s="22"/>
    </row>
    <row r="353" spans="2:7" x14ac:dyDescent="0.25">
      <c r="B353" s="1"/>
      <c r="G353" s="22"/>
    </row>
    <row r="354" spans="2:7" x14ac:dyDescent="0.25">
      <c r="B354" s="1"/>
      <c r="G354" s="22"/>
    </row>
    <row r="355" spans="2:7" x14ac:dyDescent="0.25">
      <c r="B355" s="1"/>
      <c r="G355" s="22"/>
    </row>
    <row r="356" spans="2:7" x14ac:dyDescent="0.25">
      <c r="B356" s="1"/>
      <c r="G356" s="22"/>
    </row>
    <row r="357" spans="2:7" x14ac:dyDescent="0.25">
      <c r="B357" s="1"/>
      <c r="G357" s="22"/>
    </row>
    <row r="358" spans="2:7" x14ac:dyDescent="0.25">
      <c r="B358" s="1"/>
      <c r="G358" s="22"/>
    </row>
    <row r="359" spans="2:7" x14ac:dyDescent="0.25">
      <c r="B359" s="1"/>
      <c r="G359" s="22"/>
    </row>
    <row r="360" spans="2:7" x14ac:dyDescent="0.25">
      <c r="B360" s="1"/>
      <c r="G360" s="22"/>
    </row>
    <row r="361" spans="2:7" x14ac:dyDescent="0.25">
      <c r="B361" s="1"/>
      <c r="G361" s="22"/>
    </row>
    <row r="362" spans="2:7" x14ac:dyDescent="0.25">
      <c r="B362" s="1"/>
      <c r="G362" s="22"/>
    </row>
    <row r="363" spans="2:7" x14ac:dyDescent="0.25">
      <c r="B363" s="1"/>
      <c r="G363" s="22"/>
    </row>
    <row r="364" spans="2:7" x14ac:dyDescent="0.25">
      <c r="B364" s="1"/>
      <c r="G364" s="22"/>
    </row>
    <row r="365" spans="2:7" x14ac:dyDescent="0.25">
      <c r="B365" s="1"/>
      <c r="G365" s="22"/>
    </row>
    <row r="366" spans="2:7" x14ac:dyDescent="0.25">
      <c r="B366" s="1"/>
      <c r="G366" s="22"/>
    </row>
    <row r="367" spans="2:7" x14ac:dyDescent="0.25">
      <c r="B367" s="1"/>
      <c r="G367" s="22"/>
    </row>
    <row r="368" spans="2:7" x14ac:dyDescent="0.25">
      <c r="B368" s="1"/>
      <c r="G368" s="22"/>
    </row>
    <row r="369" spans="2:7" x14ac:dyDescent="0.25">
      <c r="B369" s="1"/>
      <c r="G369" s="22"/>
    </row>
    <row r="370" spans="2:7" x14ac:dyDescent="0.25">
      <c r="B370" s="1"/>
      <c r="G370" s="22"/>
    </row>
    <row r="371" spans="2:7" x14ac:dyDescent="0.25">
      <c r="B371" s="1"/>
      <c r="G371" s="22"/>
    </row>
    <row r="372" spans="2:7" x14ac:dyDescent="0.25">
      <c r="B372" s="1"/>
      <c r="G372" s="22"/>
    </row>
    <row r="373" spans="2:7" x14ac:dyDescent="0.25">
      <c r="B373" s="1"/>
      <c r="G373" s="22"/>
    </row>
    <row r="374" spans="2:7" x14ac:dyDescent="0.25">
      <c r="B374" s="1"/>
      <c r="G374" s="22"/>
    </row>
    <row r="375" spans="2:7" x14ac:dyDescent="0.25">
      <c r="B375" s="1"/>
      <c r="G375" s="22"/>
    </row>
    <row r="376" spans="2:7" x14ac:dyDescent="0.25">
      <c r="B376" s="1"/>
      <c r="G376" s="22"/>
    </row>
    <row r="377" spans="2:7" x14ac:dyDescent="0.25">
      <c r="B377" s="1"/>
      <c r="G377" s="22"/>
    </row>
    <row r="378" spans="2:7" x14ac:dyDescent="0.25">
      <c r="B378" s="1"/>
      <c r="G378" s="22"/>
    </row>
    <row r="379" spans="2:7" x14ac:dyDescent="0.25">
      <c r="B379" s="1"/>
      <c r="G379" s="22"/>
    </row>
    <row r="380" spans="2:7" x14ac:dyDescent="0.25">
      <c r="B380" s="1"/>
      <c r="G380" s="22"/>
    </row>
    <row r="381" spans="2:7" x14ac:dyDescent="0.25">
      <c r="B381" s="1"/>
      <c r="G381" s="2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B3"/>
  <sheetViews>
    <sheetView workbookViewId="0">
      <selection activeCell="L19" sqref="L19"/>
    </sheetView>
  </sheetViews>
  <sheetFormatPr baseColWidth="10" defaultRowHeight="15" x14ac:dyDescent="0.25"/>
  <cols>
    <col min="1" max="1" width="5.28515625" customWidth="1"/>
    <col min="2" max="2" width="12" customWidth="1"/>
  </cols>
  <sheetData>
    <row r="1" spans="1:2" x14ac:dyDescent="0.25">
      <c r="A1" t="s">
        <v>152</v>
      </c>
      <c r="B1" t="s">
        <v>3</v>
      </c>
    </row>
    <row r="2" spans="1:2" x14ac:dyDescent="0.25">
      <c r="A2" s="1">
        <v>0</v>
      </c>
      <c r="B2" s="1" t="s">
        <v>154</v>
      </c>
    </row>
    <row r="3" spans="1:2" x14ac:dyDescent="0.25">
      <c r="A3" s="1">
        <v>1</v>
      </c>
      <c r="B3" s="1" t="s">
        <v>155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H346"/>
  <sheetViews>
    <sheetView topLeftCell="A81" workbookViewId="0">
      <selection activeCell="H96" sqref="H96"/>
    </sheetView>
  </sheetViews>
  <sheetFormatPr baseColWidth="10" defaultRowHeight="15" x14ac:dyDescent="0.25"/>
  <cols>
    <col min="1" max="1" width="5.28515625" customWidth="1"/>
    <col min="2" max="2" width="6.140625" style="1" customWidth="1"/>
    <col min="3" max="3" width="12" customWidth="1"/>
    <col min="4" max="4" width="6.85546875" customWidth="1"/>
    <col min="5" max="5" width="12" style="1" customWidth="1"/>
    <col min="6" max="6" width="9.42578125" customWidth="1"/>
    <col min="8" max="8" width="11.42578125" style="1"/>
  </cols>
  <sheetData>
    <row r="1" spans="1:8" x14ac:dyDescent="0.25">
      <c r="A1" t="s">
        <v>0</v>
      </c>
      <c r="B1" t="s">
        <v>246</v>
      </c>
      <c r="C1" t="s">
        <v>240</v>
      </c>
      <c r="D1" t="s">
        <v>241</v>
      </c>
      <c r="E1" t="s">
        <v>242</v>
      </c>
      <c r="F1" s="1" t="s">
        <v>243</v>
      </c>
      <c r="G1" t="s">
        <v>244</v>
      </c>
      <c r="H1" t="s">
        <v>245</v>
      </c>
    </row>
    <row r="2" spans="1:8" x14ac:dyDescent="0.25">
      <c r="A2" s="1">
        <v>1</v>
      </c>
      <c r="B2" s="1">
        <v>1</v>
      </c>
      <c r="C2" s="1">
        <v>1</v>
      </c>
      <c r="D2" s="1">
        <v>12</v>
      </c>
      <c r="E2" s="1">
        <v>101</v>
      </c>
      <c r="F2" s="1">
        <v>12</v>
      </c>
      <c r="G2" s="6">
        <v>46157</v>
      </c>
      <c r="H2" s="1">
        <v>10</v>
      </c>
    </row>
    <row r="3" spans="1:8" x14ac:dyDescent="0.25">
      <c r="A3" s="1">
        <v>1</v>
      </c>
      <c r="B3" s="1">
        <v>2</v>
      </c>
      <c r="C3" s="1">
        <v>4</v>
      </c>
      <c r="D3" s="1">
        <v>20</v>
      </c>
      <c r="E3" s="1">
        <v>104</v>
      </c>
      <c r="F3" s="1">
        <v>2</v>
      </c>
      <c r="G3" s="6">
        <v>46159</v>
      </c>
      <c r="H3" s="1">
        <v>10</v>
      </c>
    </row>
    <row r="4" spans="1:8" x14ac:dyDescent="0.25">
      <c r="A4" s="1">
        <v>1</v>
      </c>
      <c r="B4" s="1">
        <v>3</v>
      </c>
      <c r="C4" s="1">
        <v>5</v>
      </c>
      <c r="D4" s="1">
        <v>20</v>
      </c>
      <c r="E4" s="1">
        <v>105</v>
      </c>
      <c r="F4" s="1">
        <v>2</v>
      </c>
      <c r="G4" s="6">
        <v>46159</v>
      </c>
      <c r="H4" s="1">
        <v>10</v>
      </c>
    </row>
    <row r="5" spans="1:8" x14ac:dyDescent="0.25">
      <c r="A5" s="1">
        <v>1</v>
      </c>
      <c r="B5" s="1">
        <v>4</v>
      </c>
      <c r="C5" s="1">
        <v>4</v>
      </c>
      <c r="D5" s="1">
        <v>40</v>
      </c>
      <c r="E5" s="1">
        <v>104</v>
      </c>
      <c r="F5" s="1">
        <v>4</v>
      </c>
      <c r="G5" s="6">
        <v>46160</v>
      </c>
      <c r="H5" s="1">
        <v>10</v>
      </c>
    </row>
    <row r="6" spans="1:8" x14ac:dyDescent="0.25">
      <c r="A6" s="1">
        <v>1</v>
      </c>
      <c r="B6" s="1">
        <v>5</v>
      </c>
      <c r="C6" s="1">
        <v>5</v>
      </c>
      <c r="D6" s="1">
        <v>10</v>
      </c>
      <c r="E6" s="1">
        <v>105</v>
      </c>
      <c r="F6" s="1">
        <v>1</v>
      </c>
      <c r="G6" s="6">
        <v>46160</v>
      </c>
      <c r="H6" s="1">
        <v>10</v>
      </c>
    </row>
    <row r="7" spans="1:8" x14ac:dyDescent="0.25">
      <c r="A7" s="1">
        <v>1</v>
      </c>
      <c r="B7" s="1">
        <v>6</v>
      </c>
      <c r="C7" s="1">
        <v>4</v>
      </c>
      <c r="D7" s="1">
        <v>40</v>
      </c>
      <c r="E7" s="1">
        <v>104</v>
      </c>
      <c r="F7" s="1">
        <v>4</v>
      </c>
      <c r="G7" s="6">
        <v>46160</v>
      </c>
      <c r="H7" s="1">
        <v>10</v>
      </c>
    </row>
    <row r="8" spans="1:8" x14ac:dyDescent="0.25">
      <c r="A8" s="1">
        <v>1</v>
      </c>
      <c r="B8" s="1">
        <v>7</v>
      </c>
      <c r="C8" s="1">
        <v>6</v>
      </c>
      <c r="D8" s="1">
        <v>30</v>
      </c>
      <c r="E8" s="1">
        <v>106</v>
      </c>
      <c r="F8" s="1">
        <v>3</v>
      </c>
      <c r="G8" s="6">
        <v>46160</v>
      </c>
      <c r="H8" s="1">
        <v>10</v>
      </c>
    </row>
    <row r="9" spans="1:8" x14ac:dyDescent="0.25">
      <c r="A9" s="1">
        <v>1</v>
      </c>
      <c r="B9" s="1">
        <v>8</v>
      </c>
      <c r="C9" s="1">
        <v>4</v>
      </c>
      <c r="D9" s="1">
        <v>50</v>
      </c>
      <c r="E9" s="1">
        <v>104</v>
      </c>
      <c r="F9" s="1">
        <v>5</v>
      </c>
      <c r="G9" s="6">
        <v>46161</v>
      </c>
      <c r="H9" s="1">
        <v>10</v>
      </c>
    </row>
    <row r="10" spans="1:8" x14ac:dyDescent="0.25">
      <c r="A10" s="1">
        <v>1</v>
      </c>
      <c r="B10" s="1">
        <v>9</v>
      </c>
      <c r="C10" s="1">
        <v>6</v>
      </c>
      <c r="D10" s="1">
        <v>40</v>
      </c>
      <c r="E10" s="1">
        <v>106</v>
      </c>
      <c r="F10" s="1">
        <v>4</v>
      </c>
      <c r="G10" s="6">
        <v>46161</v>
      </c>
      <c r="H10" s="1">
        <v>10</v>
      </c>
    </row>
    <row r="11" spans="1:8" x14ac:dyDescent="0.25">
      <c r="A11" s="1">
        <v>1</v>
      </c>
      <c r="B11" s="1">
        <v>10</v>
      </c>
      <c r="C11" s="1">
        <v>5</v>
      </c>
      <c r="D11" s="1">
        <v>10</v>
      </c>
      <c r="E11" s="1">
        <v>105</v>
      </c>
      <c r="F11" s="1">
        <v>1</v>
      </c>
      <c r="G11" s="6">
        <v>46161</v>
      </c>
      <c r="H11" s="1">
        <v>10</v>
      </c>
    </row>
    <row r="12" spans="1:8" x14ac:dyDescent="0.25">
      <c r="A12" s="1">
        <v>1</v>
      </c>
      <c r="B12" s="1">
        <v>11</v>
      </c>
      <c r="C12" s="1">
        <v>12</v>
      </c>
      <c r="D12" s="1">
        <v>1</v>
      </c>
      <c r="E12" s="1">
        <v>901</v>
      </c>
      <c r="F12" s="1">
        <v>1</v>
      </c>
      <c r="G12" s="6">
        <v>46161</v>
      </c>
      <c r="H12" s="1">
        <v>11</v>
      </c>
    </row>
    <row r="13" spans="1:8" x14ac:dyDescent="0.25">
      <c r="A13" s="1">
        <v>1</v>
      </c>
      <c r="B13" s="1">
        <v>12</v>
      </c>
      <c r="C13" s="1">
        <v>15</v>
      </c>
      <c r="D13" s="1">
        <v>1</v>
      </c>
      <c r="E13" s="1">
        <v>901</v>
      </c>
      <c r="F13" s="1">
        <v>1</v>
      </c>
      <c r="G13" s="6">
        <v>46161</v>
      </c>
      <c r="H13" s="1">
        <v>11</v>
      </c>
    </row>
    <row r="14" spans="1:8" x14ac:dyDescent="0.25">
      <c r="A14" s="1">
        <v>1</v>
      </c>
      <c r="B14" s="1">
        <v>13</v>
      </c>
      <c r="C14" s="1">
        <v>18</v>
      </c>
      <c r="D14" s="1">
        <v>1</v>
      </c>
      <c r="E14" s="1">
        <v>901</v>
      </c>
      <c r="F14" s="1">
        <v>0</v>
      </c>
      <c r="G14" s="6">
        <v>46161</v>
      </c>
      <c r="H14" s="1">
        <v>11</v>
      </c>
    </row>
    <row r="15" spans="1:8" x14ac:dyDescent="0.25">
      <c r="A15" s="1">
        <v>1</v>
      </c>
      <c r="B15" s="1">
        <v>14</v>
      </c>
      <c r="C15" s="1">
        <v>15</v>
      </c>
      <c r="D15" s="1">
        <v>1</v>
      </c>
      <c r="E15" s="1">
        <v>901</v>
      </c>
      <c r="F15" s="1">
        <v>1</v>
      </c>
      <c r="G15" s="2">
        <v>46162</v>
      </c>
      <c r="H15" s="1">
        <v>11</v>
      </c>
    </row>
    <row r="16" spans="1:8" x14ac:dyDescent="0.25">
      <c r="A16" s="1">
        <v>1</v>
      </c>
      <c r="B16" s="1">
        <v>15</v>
      </c>
      <c r="C16" s="1">
        <v>24</v>
      </c>
      <c r="D16" s="1">
        <v>1</v>
      </c>
      <c r="E16" s="1">
        <v>901</v>
      </c>
      <c r="F16" s="1">
        <v>0</v>
      </c>
      <c r="G16" s="2">
        <v>46162</v>
      </c>
      <c r="H16" s="1">
        <v>11</v>
      </c>
    </row>
    <row r="17" spans="1:8" x14ac:dyDescent="0.25">
      <c r="A17" s="1">
        <v>1</v>
      </c>
      <c r="B17" s="1">
        <v>16</v>
      </c>
      <c r="C17" s="1">
        <v>15</v>
      </c>
      <c r="D17" s="1">
        <v>1</v>
      </c>
      <c r="E17" s="1">
        <v>901</v>
      </c>
      <c r="F17" s="1">
        <v>1</v>
      </c>
      <c r="G17" s="2">
        <v>46163</v>
      </c>
      <c r="H17" s="1">
        <v>11</v>
      </c>
    </row>
    <row r="18" spans="1:8" x14ac:dyDescent="0.25">
      <c r="A18" s="1">
        <v>1</v>
      </c>
      <c r="B18" s="1">
        <v>17</v>
      </c>
      <c r="C18" s="1">
        <v>21</v>
      </c>
      <c r="D18" s="1">
        <v>1</v>
      </c>
      <c r="E18" s="1">
        <v>901</v>
      </c>
      <c r="F18" s="1">
        <v>0</v>
      </c>
      <c r="G18" s="2">
        <v>46163</v>
      </c>
      <c r="H18" s="1">
        <v>11</v>
      </c>
    </row>
    <row r="19" spans="1:8" x14ac:dyDescent="0.25">
      <c r="A19" s="1">
        <v>1</v>
      </c>
      <c r="B19" s="1">
        <v>18</v>
      </c>
      <c r="C19" s="1">
        <v>6</v>
      </c>
      <c r="D19" s="1">
        <v>10</v>
      </c>
      <c r="E19" s="1">
        <v>106</v>
      </c>
      <c r="F19" s="1">
        <v>1</v>
      </c>
      <c r="G19" s="2">
        <v>46163</v>
      </c>
      <c r="H19" s="1">
        <v>10</v>
      </c>
    </row>
    <row r="20" spans="1:8" x14ac:dyDescent="0.25">
      <c r="A20" s="1">
        <v>1</v>
      </c>
      <c r="B20" s="1">
        <v>19</v>
      </c>
      <c r="C20" s="1">
        <v>9</v>
      </c>
      <c r="D20" s="1">
        <v>1</v>
      </c>
      <c r="E20" s="1">
        <v>901</v>
      </c>
      <c r="F20" s="1">
        <v>1</v>
      </c>
      <c r="G20" s="2">
        <v>46164</v>
      </c>
      <c r="H20" s="1">
        <v>11</v>
      </c>
    </row>
    <row r="21" spans="1:8" x14ac:dyDescent="0.25">
      <c r="A21" s="1">
        <v>1</v>
      </c>
      <c r="B21" s="1">
        <v>20</v>
      </c>
      <c r="C21" s="1">
        <v>24</v>
      </c>
      <c r="D21" s="1">
        <v>1</v>
      </c>
      <c r="E21" s="1">
        <v>901</v>
      </c>
      <c r="F21" s="1">
        <v>0</v>
      </c>
      <c r="G21" s="2">
        <v>46164</v>
      </c>
      <c r="H21" s="1">
        <v>11</v>
      </c>
    </row>
    <row r="22" spans="1:8" x14ac:dyDescent="0.25">
      <c r="A22" s="1">
        <v>1</v>
      </c>
      <c r="B22" s="1">
        <v>21</v>
      </c>
      <c r="C22" s="1">
        <v>4</v>
      </c>
      <c r="D22" s="1">
        <v>50</v>
      </c>
      <c r="E22" s="1">
        <v>104</v>
      </c>
      <c r="F22" s="1">
        <v>5</v>
      </c>
      <c r="G22" s="2">
        <v>46164</v>
      </c>
      <c r="H22" s="1">
        <v>10</v>
      </c>
    </row>
    <row r="23" spans="1:8" x14ac:dyDescent="0.25">
      <c r="A23" s="1">
        <v>1</v>
      </c>
      <c r="B23" s="1">
        <v>22</v>
      </c>
      <c r="C23" s="1">
        <v>6</v>
      </c>
      <c r="D23" s="1">
        <v>50</v>
      </c>
      <c r="E23" s="1">
        <v>106</v>
      </c>
      <c r="F23" s="1">
        <v>5</v>
      </c>
      <c r="G23" s="2">
        <v>46164</v>
      </c>
      <c r="H23" s="1">
        <v>10</v>
      </c>
    </row>
    <row r="24" spans="1:8" x14ac:dyDescent="0.25">
      <c r="A24" s="1">
        <v>1</v>
      </c>
      <c r="B24" s="1">
        <v>23</v>
      </c>
      <c r="C24" s="1">
        <v>5</v>
      </c>
      <c r="D24" s="1">
        <v>10</v>
      </c>
      <c r="E24" s="1">
        <v>105</v>
      </c>
      <c r="F24" s="1">
        <v>1</v>
      </c>
      <c r="G24" s="2">
        <v>46164</v>
      </c>
      <c r="H24" s="1">
        <v>10</v>
      </c>
    </row>
    <row r="25" spans="1:8" x14ac:dyDescent="0.25">
      <c r="A25" s="1">
        <v>1</v>
      </c>
      <c r="B25" s="1">
        <v>24</v>
      </c>
      <c r="C25" s="1">
        <v>7</v>
      </c>
      <c r="D25" s="1">
        <v>10</v>
      </c>
      <c r="E25" s="1">
        <v>107</v>
      </c>
      <c r="F25" s="1">
        <v>1</v>
      </c>
      <c r="G25" s="2">
        <v>46164</v>
      </c>
      <c r="H25" s="1">
        <v>10</v>
      </c>
    </row>
    <row r="26" spans="1:8" x14ac:dyDescent="0.25">
      <c r="A26" s="1">
        <v>1</v>
      </c>
      <c r="B26" s="1">
        <v>25</v>
      </c>
      <c r="C26" s="1">
        <v>8</v>
      </c>
      <c r="D26" s="1">
        <v>20</v>
      </c>
      <c r="E26" s="1">
        <v>108</v>
      </c>
      <c r="F26" s="1">
        <v>2</v>
      </c>
      <c r="G26" s="2">
        <v>46164</v>
      </c>
      <c r="H26" s="1">
        <v>10</v>
      </c>
    </row>
    <row r="27" spans="1:8" x14ac:dyDescent="0.25">
      <c r="A27" s="1">
        <v>1</v>
      </c>
      <c r="B27" s="1">
        <v>26</v>
      </c>
      <c r="C27" s="1">
        <v>15</v>
      </c>
      <c r="D27" s="1">
        <v>1</v>
      </c>
      <c r="E27" s="1">
        <v>901</v>
      </c>
      <c r="F27" s="1">
        <v>1</v>
      </c>
      <c r="G27" s="2">
        <v>46165</v>
      </c>
      <c r="H27" s="1">
        <v>11</v>
      </c>
    </row>
    <row r="28" spans="1:8" x14ac:dyDescent="0.25">
      <c r="A28" s="1">
        <v>1</v>
      </c>
      <c r="B28" s="1">
        <v>27</v>
      </c>
      <c r="C28" s="1">
        <v>21</v>
      </c>
      <c r="D28" s="1">
        <v>1</v>
      </c>
      <c r="E28" s="1">
        <v>901</v>
      </c>
      <c r="F28" s="1">
        <v>0</v>
      </c>
      <c r="G28" s="2">
        <v>46165</v>
      </c>
      <c r="H28" s="1">
        <v>11</v>
      </c>
    </row>
    <row r="29" spans="1:8" x14ac:dyDescent="0.25">
      <c r="A29" s="1">
        <v>1</v>
      </c>
      <c r="B29" s="1">
        <v>28</v>
      </c>
      <c r="C29" s="1">
        <v>15</v>
      </c>
      <c r="D29" s="1">
        <v>1</v>
      </c>
      <c r="E29" s="1">
        <v>901</v>
      </c>
      <c r="F29" s="1">
        <v>1</v>
      </c>
      <c r="G29" s="2">
        <v>46166</v>
      </c>
      <c r="H29" s="1">
        <v>11</v>
      </c>
    </row>
    <row r="30" spans="1:8" x14ac:dyDescent="0.25">
      <c r="A30" s="1">
        <v>1</v>
      </c>
      <c r="B30" s="1">
        <v>29</v>
      </c>
      <c r="C30" s="1">
        <v>21</v>
      </c>
      <c r="D30" s="1">
        <v>1</v>
      </c>
      <c r="E30" s="1">
        <v>901</v>
      </c>
      <c r="F30" s="1">
        <v>0</v>
      </c>
      <c r="G30" s="2">
        <v>46166</v>
      </c>
      <c r="H30" s="1">
        <v>11</v>
      </c>
    </row>
    <row r="31" spans="1:8" x14ac:dyDescent="0.25">
      <c r="A31" s="1">
        <v>1</v>
      </c>
      <c r="B31" s="1">
        <v>30</v>
      </c>
      <c r="C31" s="1">
        <v>3</v>
      </c>
      <c r="D31" s="1">
        <v>8</v>
      </c>
      <c r="E31" s="1">
        <v>103</v>
      </c>
      <c r="F31" s="1">
        <v>4</v>
      </c>
      <c r="G31" s="2">
        <v>46166</v>
      </c>
      <c r="H31" s="1">
        <v>10</v>
      </c>
    </row>
    <row r="32" spans="1:8" x14ac:dyDescent="0.25">
      <c r="A32" s="1">
        <v>1</v>
      </c>
      <c r="B32" s="1">
        <v>31</v>
      </c>
      <c r="C32" s="1">
        <v>12</v>
      </c>
      <c r="D32" s="1">
        <v>1</v>
      </c>
      <c r="E32" s="1">
        <v>901</v>
      </c>
      <c r="F32" s="1">
        <v>1</v>
      </c>
      <c r="G32" s="2">
        <v>46166</v>
      </c>
      <c r="H32" s="1">
        <v>11</v>
      </c>
    </row>
    <row r="33" spans="1:8" x14ac:dyDescent="0.25">
      <c r="A33" s="1">
        <v>1</v>
      </c>
      <c r="B33" s="1">
        <v>32</v>
      </c>
      <c r="C33" s="1">
        <v>901</v>
      </c>
      <c r="D33" s="1">
        <v>6</v>
      </c>
      <c r="E33" s="1">
        <v>903</v>
      </c>
      <c r="F33" s="1">
        <v>1</v>
      </c>
      <c r="G33" s="2">
        <v>46166</v>
      </c>
      <c r="H33" s="1">
        <v>10</v>
      </c>
    </row>
    <row r="34" spans="1:8" x14ac:dyDescent="0.25">
      <c r="A34" s="1">
        <v>1</v>
      </c>
      <c r="B34" s="1">
        <v>33</v>
      </c>
      <c r="C34" s="1">
        <v>901</v>
      </c>
      <c r="D34" s="1">
        <v>3</v>
      </c>
      <c r="E34" s="1">
        <v>29</v>
      </c>
      <c r="F34" s="1">
        <v>3</v>
      </c>
      <c r="G34" s="2">
        <v>46166</v>
      </c>
      <c r="H34" s="1">
        <v>10</v>
      </c>
    </row>
    <row r="35" spans="1:8" x14ac:dyDescent="0.25">
      <c r="A35" s="1">
        <v>1</v>
      </c>
      <c r="B35" s="1">
        <v>34</v>
      </c>
      <c r="C35" s="1">
        <v>15</v>
      </c>
      <c r="D35" s="1">
        <v>1</v>
      </c>
      <c r="E35" s="1">
        <v>901</v>
      </c>
      <c r="F35" s="1">
        <v>1</v>
      </c>
      <c r="G35" s="2">
        <v>46167</v>
      </c>
      <c r="H35" s="1">
        <v>11</v>
      </c>
    </row>
    <row r="36" spans="1:8" x14ac:dyDescent="0.25">
      <c r="A36" s="1">
        <v>1</v>
      </c>
      <c r="B36" s="1">
        <v>35</v>
      </c>
      <c r="C36" s="1">
        <v>24</v>
      </c>
      <c r="D36" s="1">
        <v>1</v>
      </c>
      <c r="E36" s="1">
        <v>901</v>
      </c>
      <c r="F36" s="1">
        <v>0</v>
      </c>
      <c r="G36" s="2">
        <v>46167</v>
      </c>
      <c r="H36" s="1">
        <v>11</v>
      </c>
    </row>
    <row r="37" spans="1:8" x14ac:dyDescent="0.25">
      <c r="A37" s="1">
        <v>1</v>
      </c>
      <c r="B37" s="1">
        <v>36</v>
      </c>
      <c r="C37" s="1">
        <v>9</v>
      </c>
      <c r="D37" s="1">
        <v>1</v>
      </c>
      <c r="E37" s="1">
        <v>901</v>
      </c>
      <c r="F37" s="1">
        <v>1</v>
      </c>
      <c r="G37" s="2">
        <v>46168</v>
      </c>
      <c r="H37" s="1">
        <v>11</v>
      </c>
    </row>
    <row r="38" spans="1:8" x14ac:dyDescent="0.25">
      <c r="A38" s="1">
        <v>1</v>
      </c>
      <c r="B38" s="1">
        <v>37</v>
      </c>
      <c r="C38" s="1">
        <v>24</v>
      </c>
      <c r="D38" s="1">
        <v>1</v>
      </c>
      <c r="E38" s="1">
        <v>901</v>
      </c>
      <c r="F38" s="1">
        <v>0</v>
      </c>
      <c r="G38" s="2">
        <v>46168</v>
      </c>
      <c r="H38" s="1">
        <v>11</v>
      </c>
    </row>
    <row r="39" spans="1:8" x14ac:dyDescent="0.25">
      <c r="A39" s="1">
        <v>1</v>
      </c>
      <c r="B39" s="1">
        <v>38</v>
      </c>
      <c r="C39" s="1">
        <v>15</v>
      </c>
      <c r="D39" s="1">
        <v>1</v>
      </c>
      <c r="E39" s="1">
        <v>901</v>
      </c>
      <c r="F39" s="1">
        <v>1</v>
      </c>
      <c r="G39" s="2">
        <v>46169</v>
      </c>
      <c r="H39" s="1">
        <v>11</v>
      </c>
    </row>
    <row r="40" spans="1:8" x14ac:dyDescent="0.25">
      <c r="A40" s="1">
        <v>1</v>
      </c>
      <c r="B40" s="1">
        <v>39</v>
      </c>
      <c r="C40" s="1">
        <v>21</v>
      </c>
      <c r="D40" s="1">
        <v>1</v>
      </c>
      <c r="E40" s="1">
        <v>901</v>
      </c>
      <c r="F40" s="1">
        <v>0</v>
      </c>
      <c r="G40" s="2">
        <v>46169</v>
      </c>
      <c r="H40" s="1">
        <v>11</v>
      </c>
    </row>
    <row r="41" spans="1:8" x14ac:dyDescent="0.25">
      <c r="A41" s="1">
        <v>1</v>
      </c>
      <c r="B41" s="1">
        <v>40</v>
      </c>
      <c r="C41" s="1">
        <v>12</v>
      </c>
      <c r="D41" s="1">
        <v>1</v>
      </c>
      <c r="E41" s="1">
        <v>901</v>
      </c>
      <c r="F41" s="1">
        <v>1</v>
      </c>
      <c r="G41" s="2">
        <v>46170</v>
      </c>
      <c r="H41" s="1">
        <v>11</v>
      </c>
    </row>
    <row r="42" spans="1:8" x14ac:dyDescent="0.25">
      <c r="A42" s="1">
        <v>1</v>
      </c>
      <c r="B42" s="1">
        <v>41</v>
      </c>
      <c r="C42" s="1">
        <v>18</v>
      </c>
      <c r="D42" s="1">
        <v>1</v>
      </c>
      <c r="E42" s="1">
        <v>901</v>
      </c>
      <c r="F42" s="1">
        <v>0</v>
      </c>
      <c r="G42" s="2">
        <v>46170</v>
      </c>
      <c r="H42" s="1">
        <v>11</v>
      </c>
    </row>
    <row r="43" spans="1:8" x14ac:dyDescent="0.25">
      <c r="A43" s="1">
        <v>1</v>
      </c>
      <c r="B43" s="1">
        <v>42</v>
      </c>
      <c r="C43" s="1">
        <v>15</v>
      </c>
      <c r="D43" s="1">
        <v>1</v>
      </c>
      <c r="E43" s="1">
        <v>901</v>
      </c>
      <c r="F43" s="1">
        <v>1</v>
      </c>
      <c r="G43" s="2">
        <v>46171</v>
      </c>
      <c r="H43" s="1">
        <v>11</v>
      </c>
    </row>
    <row r="44" spans="1:8" x14ac:dyDescent="0.25">
      <c r="A44" s="1">
        <v>1</v>
      </c>
      <c r="B44" s="1">
        <v>43</v>
      </c>
      <c r="C44" s="1">
        <v>24</v>
      </c>
      <c r="D44" s="1">
        <v>1</v>
      </c>
      <c r="E44" s="1">
        <v>901</v>
      </c>
      <c r="F44" s="1">
        <v>0</v>
      </c>
      <c r="G44" s="2">
        <v>46171</v>
      </c>
      <c r="H44" s="1">
        <v>11</v>
      </c>
    </row>
    <row r="45" spans="1:8" x14ac:dyDescent="0.25">
      <c r="A45" s="1">
        <v>1</v>
      </c>
      <c r="B45" s="1">
        <v>44</v>
      </c>
      <c r="C45" s="1">
        <v>15</v>
      </c>
      <c r="D45" s="1">
        <v>1</v>
      </c>
      <c r="E45" s="1">
        <v>901</v>
      </c>
      <c r="F45" s="1">
        <v>1</v>
      </c>
      <c r="G45" s="2">
        <v>46172</v>
      </c>
      <c r="H45" s="1">
        <v>11</v>
      </c>
    </row>
    <row r="46" spans="1:8" x14ac:dyDescent="0.25">
      <c r="A46" s="1">
        <v>1</v>
      </c>
      <c r="B46" s="1">
        <v>45</v>
      </c>
      <c r="C46" s="1">
        <v>21</v>
      </c>
      <c r="D46" s="1">
        <v>1</v>
      </c>
      <c r="E46" s="1">
        <v>901</v>
      </c>
      <c r="F46" s="1">
        <v>0</v>
      </c>
      <c r="G46" s="2">
        <v>46172</v>
      </c>
      <c r="H46" s="1">
        <v>11</v>
      </c>
    </row>
    <row r="47" spans="1:8" x14ac:dyDescent="0.25">
      <c r="A47" s="1">
        <v>1</v>
      </c>
      <c r="B47" s="1">
        <v>46</v>
      </c>
      <c r="C47" s="1">
        <v>12</v>
      </c>
      <c r="D47" s="1">
        <v>1</v>
      </c>
      <c r="E47" s="1">
        <v>901</v>
      </c>
      <c r="F47" s="1">
        <v>1</v>
      </c>
      <c r="G47" s="2">
        <v>46173</v>
      </c>
      <c r="H47" s="1">
        <v>11</v>
      </c>
    </row>
    <row r="48" spans="1:8" x14ac:dyDescent="0.25">
      <c r="A48" s="1">
        <v>1</v>
      </c>
      <c r="B48" s="1">
        <v>47</v>
      </c>
      <c r="C48" s="1">
        <v>18</v>
      </c>
      <c r="D48" s="1">
        <v>1</v>
      </c>
      <c r="E48" s="1">
        <v>901</v>
      </c>
      <c r="F48" s="1">
        <v>0</v>
      </c>
      <c r="G48" s="2">
        <v>46173</v>
      </c>
      <c r="H48" s="1">
        <v>11</v>
      </c>
    </row>
    <row r="49" spans="1:8" x14ac:dyDescent="0.25">
      <c r="A49" s="1">
        <v>1</v>
      </c>
      <c r="B49" s="1">
        <v>48</v>
      </c>
      <c r="C49" s="1">
        <v>9</v>
      </c>
      <c r="D49" s="1">
        <v>1</v>
      </c>
      <c r="E49" s="1">
        <v>901</v>
      </c>
      <c r="F49" s="1">
        <v>1</v>
      </c>
      <c r="G49" s="2">
        <v>46174</v>
      </c>
      <c r="H49" s="1">
        <v>11</v>
      </c>
    </row>
    <row r="50" spans="1:8" x14ac:dyDescent="0.25">
      <c r="A50" s="1">
        <v>1</v>
      </c>
      <c r="B50" s="1">
        <v>49</v>
      </c>
      <c r="C50" s="1">
        <v>21</v>
      </c>
      <c r="D50" s="1">
        <v>1</v>
      </c>
      <c r="E50" s="1">
        <v>901</v>
      </c>
      <c r="F50" s="1">
        <v>0</v>
      </c>
      <c r="G50" s="2">
        <v>46174</v>
      </c>
      <c r="H50" s="1">
        <v>11</v>
      </c>
    </row>
    <row r="51" spans="1:8" x14ac:dyDescent="0.25">
      <c r="A51" s="1">
        <v>1</v>
      </c>
      <c r="B51" s="1">
        <v>50</v>
      </c>
      <c r="C51" s="1">
        <v>9</v>
      </c>
      <c r="D51" s="1">
        <v>1</v>
      </c>
      <c r="E51" s="1">
        <v>901</v>
      </c>
      <c r="F51" s="1">
        <v>1</v>
      </c>
      <c r="G51" s="2">
        <v>46175</v>
      </c>
      <c r="H51" s="1">
        <v>11</v>
      </c>
    </row>
    <row r="52" spans="1:8" x14ac:dyDescent="0.25">
      <c r="A52" s="1">
        <v>1</v>
      </c>
      <c r="B52" s="1">
        <v>51</v>
      </c>
      <c r="C52" s="1">
        <v>24</v>
      </c>
      <c r="D52" s="1">
        <v>1</v>
      </c>
      <c r="E52" s="1">
        <v>901</v>
      </c>
      <c r="F52" s="1">
        <v>0</v>
      </c>
      <c r="G52" s="2">
        <v>46175</v>
      </c>
      <c r="H52" s="1">
        <v>11</v>
      </c>
    </row>
    <row r="53" spans="1:8" x14ac:dyDescent="0.25">
      <c r="A53" s="1">
        <v>1</v>
      </c>
      <c r="B53" s="1">
        <v>52</v>
      </c>
      <c r="C53" s="1">
        <v>15</v>
      </c>
      <c r="D53" s="1">
        <v>1</v>
      </c>
      <c r="E53" s="1">
        <v>901</v>
      </c>
      <c r="F53" s="1">
        <v>1</v>
      </c>
      <c r="G53" s="2">
        <v>46176</v>
      </c>
      <c r="H53" s="1">
        <v>11</v>
      </c>
    </row>
    <row r="54" spans="1:8" x14ac:dyDescent="0.25">
      <c r="A54" s="1">
        <v>1</v>
      </c>
      <c r="B54" s="1">
        <v>53</v>
      </c>
      <c r="C54" s="1">
        <v>24</v>
      </c>
      <c r="D54" s="1">
        <v>1</v>
      </c>
      <c r="E54" s="1">
        <v>901</v>
      </c>
      <c r="F54" s="1">
        <v>0</v>
      </c>
      <c r="G54" s="2">
        <v>46176</v>
      </c>
      <c r="H54" s="1">
        <v>11</v>
      </c>
    </row>
    <row r="55" spans="1:8" x14ac:dyDescent="0.25">
      <c r="A55" s="1">
        <v>1</v>
      </c>
      <c r="B55" s="1">
        <v>54</v>
      </c>
      <c r="C55" s="1">
        <v>12</v>
      </c>
      <c r="D55" s="1">
        <v>1</v>
      </c>
      <c r="E55" s="1">
        <v>901</v>
      </c>
      <c r="F55" s="1">
        <v>1</v>
      </c>
      <c r="G55" s="2">
        <v>46177</v>
      </c>
      <c r="H55" s="1">
        <v>11</v>
      </c>
    </row>
    <row r="56" spans="1:8" x14ac:dyDescent="0.25">
      <c r="A56" s="1">
        <v>1</v>
      </c>
      <c r="B56" s="1">
        <v>55</v>
      </c>
      <c r="C56" s="1">
        <v>18</v>
      </c>
      <c r="D56" s="1">
        <v>1</v>
      </c>
      <c r="E56" s="1">
        <v>901</v>
      </c>
      <c r="F56" s="1">
        <v>0</v>
      </c>
      <c r="G56" s="2">
        <v>46177</v>
      </c>
      <c r="H56" s="1">
        <v>11</v>
      </c>
    </row>
    <row r="57" spans="1:8" x14ac:dyDescent="0.25">
      <c r="A57" s="1">
        <v>1</v>
      </c>
      <c r="B57" s="1">
        <v>56</v>
      </c>
      <c r="C57" s="1">
        <v>15</v>
      </c>
      <c r="D57" s="1">
        <v>1</v>
      </c>
      <c r="E57" s="1">
        <v>901</v>
      </c>
      <c r="F57" s="1">
        <v>1</v>
      </c>
      <c r="G57" s="2">
        <v>46178</v>
      </c>
      <c r="H57" s="1">
        <v>11</v>
      </c>
    </row>
    <row r="58" spans="1:8" x14ac:dyDescent="0.25">
      <c r="A58" s="1">
        <v>1</v>
      </c>
      <c r="B58" s="1">
        <v>57</v>
      </c>
      <c r="C58" s="1">
        <v>24</v>
      </c>
      <c r="D58" s="1">
        <v>1</v>
      </c>
      <c r="E58" s="1">
        <v>901</v>
      </c>
      <c r="F58" s="1">
        <v>0</v>
      </c>
      <c r="G58" s="2">
        <v>46178</v>
      </c>
      <c r="H58" s="1">
        <v>11</v>
      </c>
    </row>
    <row r="59" spans="1:8" x14ac:dyDescent="0.25">
      <c r="A59" s="1">
        <v>1</v>
      </c>
      <c r="B59" s="1">
        <v>58</v>
      </c>
      <c r="C59" s="1">
        <v>21</v>
      </c>
      <c r="D59" s="1">
        <v>1</v>
      </c>
      <c r="E59" s="1">
        <v>901</v>
      </c>
      <c r="F59" s="1">
        <v>1</v>
      </c>
      <c r="G59" s="2">
        <v>46179</v>
      </c>
      <c r="H59" s="1">
        <v>11</v>
      </c>
    </row>
    <row r="60" spans="1:8" x14ac:dyDescent="0.25">
      <c r="A60" s="1">
        <v>1</v>
      </c>
      <c r="B60" s="1">
        <v>59</v>
      </c>
      <c r="C60" s="1">
        <v>15</v>
      </c>
      <c r="D60" s="1">
        <v>1</v>
      </c>
      <c r="E60" s="1">
        <v>901</v>
      </c>
      <c r="F60" s="1">
        <v>0</v>
      </c>
      <c r="G60" s="2">
        <v>46179</v>
      </c>
      <c r="H60" s="1">
        <v>11</v>
      </c>
    </row>
    <row r="61" spans="1:8" x14ac:dyDescent="0.25">
      <c r="A61" s="1">
        <v>1</v>
      </c>
      <c r="B61" s="1">
        <v>60</v>
      </c>
      <c r="C61" s="1">
        <v>4</v>
      </c>
      <c r="D61" s="1">
        <v>70</v>
      </c>
      <c r="E61" s="1">
        <v>104</v>
      </c>
      <c r="F61" s="1">
        <v>7</v>
      </c>
      <c r="G61" s="2">
        <v>46179</v>
      </c>
      <c r="H61" s="1">
        <v>10</v>
      </c>
    </row>
    <row r="62" spans="1:8" x14ac:dyDescent="0.25">
      <c r="A62" s="1">
        <v>1</v>
      </c>
      <c r="B62" s="1">
        <v>61</v>
      </c>
      <c r="C62" s="1">
        <v>6</v>
      </c>
      <c r="D62" s="1">
        <v>40</v>
      </c>
      <c r="E62" s="1">
        <v>106</v>
      </c>
      <c r="F62" s="1">
        <v>4</v>
      </c>
      <c r="G62" s="2">
        <v>46179</v>
      </c>
      <c r="H62" s="1">
        <v>10</v>
      </c>
    </row>
    <row r="63" spans="1:8" x14ac:dyDescent="0.25">
      <c r="A63" s="1">
        <v>1</v>
      </c>
      <c r="B63" s="1">
        <v>62</v>
      </c>
      <c r="C63" s="1">
        <v>5</v>
      </c>
      <c r="D63" s="1">
        <v>20</v>
      </c>
      <c r="E63" s="1">
        <v>105</v>
      </c>
      <c r="F63" s="1">
        <v>2</v>
      </c>
      <c r="G63" s="2">
        <v>46179</v>
      </c>
      <c r="H63" s="1">
        <v>10</v>
      </c>
    </row>
    <row r="64" spans="1:8" x14ac:dyDescent="0.25">
      <c r="A64" s="1">
        <v>1</v>
      </c>
      <c r="B64" s="1">
        <v>63</v>
      </c>
      <c r="C64" s="1">
        <v>7</v>
      </c>
      <c r="D64" s="1">
        <v>10</v>
      </c>
      <c r="E64" s="1">
        <v>107</v>
      </c>
      <c r="F64" s="1">
        <v>1</v>
      </c>
      <c r="G64" s="2">
        <v>46179</v>
      </c>
      <c r="H64" s="1">
        <v>10</v>
      </c>
    </row>
    <row r="65" spans="1:8" x14ac:dyDescent="0.25">
      <c r="A65" s="1">
        <v>1</v>
      </c>
      <c r="B65" s="1">
        <v>64</v>
      </c>
      <c r="C65" s="1">
        <v>8</v>
      </c>
      <c r="D65" s="1">
        <v>20</v>
      </c>
      <c r="E65" s="1">
        <v>108</v>
      </c>
      <c r="F65" s="1">
        <v>2</v>
      </c>
      <c r="G65" s="2">
        <v>46179</v>
      </c>
      <c r="H65" s="1">
        <v>10</v>
      </c>
    </row>
    <row r="66" spans="1:8" x14ac:dyDescent="0.25">
      <c r="A66" s="1">
        <v>1</v>
      </c>
      <c r="B66" s="1">
        <v>65</v>
      </c>
      <c r="C66" s="1">
        <v>2</v>
      </c>
      <c r="D66" s="1">
        <v>16</v>
      </c>
      <c r="E66" s="1">
        <v>102</v>
      </c>
      <c r="F66" s="1">
        <v>8</v>
      </c>
      <c r="G66" s="2">
        <v>46179</v>
      </c>
      <c r="H66" s="1">
        <v>10</v>
      </c>
    </row>
    <row r="67" spans="1:8" x14ac:dyDescent="0.25">
      <c r="A67" s="1">
        <v>1</v>
      </c>
      <c r="B67" s="1">
        <v>66</v>
      </c>
      <c r="C67" s="1">
        <v>2</v>
      </c>
      <c r="D67" s="1">
        <v>352</v>
      </c>
      <c r="E67" s="1">
        <v>102</v>
      </c>
      <c r="F67" s="1">
        <v>176</v>
      </c>
      <c r="G67" s="2">
        <v>46179</v>
      </c>
      <c r="H67" s="1">
        <v>10</v>
      </c>
    </row>
    <row r="68" spans="1:8" x14ac:dyDescent="0.25">
      <c r="A68" s="1">
        <v>1</v>
      </c>
      <c r="B68" s="1">
        <v>67</v>
      </c>
      <c r="C68" s="1">
        <v>9</v>
      </c>
      <c r="D68" s="1">
        <v>1</v>
      </c>
      <c r="E68" s="1">
        <v>901</v>
      </c>
      <c r="F68" s="1">
        <v>1</v>
      </c>
      <c r="G68" s="2">
        <v>46180</v>
      </c>
      <c r="H68" s="1">
        <v>11</v>
      </c>
    </row>
    <row r="69" spans="1:8" x14ac:dyDescent="0.25">
      <c r="A69" s="1">
        <v>1</v>
      </c>
      <c r="B69" s="1">
        <v>68</v>
      </c>
      <c r="C69" s="1">
        <v>24</v>
      </c>
      <c r="D69" s="1">
        <v>1</v>
      </c>
      <c r="E69" s="1">
        <v>901</v>
      </c>
      <c r="F69" s="1">
        <v>0</v>
      </c>
      <c r="G69" s="2">
        <v>46180</v>
      </c>
      <c r="H69" s="1">
        <v>11</v>
      </c>
    </row>
    <row r="70" spans="1:8" x14ac:dyDescent="0.25">
      <c r="A70" s="1">
        <v>1</v>
      </c>
      <c r="B70" s="1">
        <v>69</v>
      </c>
      <c r="C70" s="1">
        <v>12</v>
      </c>
      <c r="D70" s="1">
        <v>1</v>
      </c>
      <c r="E70" s="1">
        <v>901</v>
      </c>
      <c r="F70" s="1">
        <v>1</v>
      </c>
      <c r="G70" s="2">
        <v>46181</v>
      </c>
      <c r="H70" s="1">
        <v>11</v>
      </c>
    </row>
    <row r="71" spans="1:8" x14ac:dyDescent="0.25">
      <c r="A71" s="1">
        <v>1</v>
      </c>
      <c r="B71" s="1">
        <v>70</v>
      </c>
      <c r="C71" s="1">
        <v>18</v>
      </c>
      <c r="D71" s="1">
        <v>1</v>
      </c>
      <c r="E71" s="1">
        <v>901</v>
      </c>
      <c r="F71" s="1">
        <v>0</v>
      </c>
      <c r="G71" s="2">
        <v>46181</v>
      </c>
      <c r="H71" s="1">
        <v>11</v>
      </c>
    </row>
    <row r="72" spans="1:8" x14ac:dyDescent="0.25">
      <c r="A72" s="1">
        <v>0</v>
      </c>
      <c r="B72" s="1">
        <v>71</v>
      </c>
      <c r="C72" s="1">
        <v>15</v>
      </c>
      <c r="D72" s="1">
        <v>1</v>
      </c>
      <c r="E72" s="1">
        <v>901</v>
      </c>
      <c r="F72" s="1">
        <v>1</v>
      </c>
      <c r="G72" s="2">
        <v>46182</v>
      </c>
      <c r="H72" s="1">
        <v>11</v>
      </c>
    </row>
    <row r="73" spans="1:8" x14ac:dyDescent="0.25">
      <c r="A73" s="1">
        <v>0</v>
      </c>
      <c r="B73" s="1">
        <v>72</v>
      </c>
      <c r="C73" s="1">
        <v>24</v>
      </c>
      <c r="D73" s="1">
        <v>1</v>
      </c>
      <c r="E73" s="1">
        <v>901</v>
      </c>
      <c r="F73" s="1">
        <v>0</v>
      </c>
      <c r="G73" s="2">
        <v>46182</v>
      </c>
      <c r="H73" s="1">
        <v>11</v>
      </c>
    </row>
    <row r="74" spans="1:8" x14ac:dyDescent="0.25">
      <c r="A74" s="1">
        <v>0</v>
      </c>
      <c r="B74" s="1">
        <v>73</v>
      </c>
      <c r="C74" s="1">
        <v>9</v>
      </c>
      <c r="D74" s="1">
        <v>1</v>
      </c>
      <c r="E74" s="1">
        <v>901</v>
      </c>
      <c r="F74" s="1">
        <v>1</v>
      </c>
      <c r="G74" s="2">
        <v>46183</v>
      </c>
      <c r="H74" s="1">
        <v>11</v>
      </c>
    </row>
    <row r="75" spans="1:8" x14ac:dyDescent="0.25">
      <c r="A75" s="1">
        <v>0</v>
      </c>
      <c r="B75" s="1">
        <v>74</v>
      </c>
      <c r="C75" s="1">
        <v>24</v>
      </c>
      <c r="D75" s="1">
        <v>1</v>
      </c>
      <c r="E75" s="1">
        <v>901</v>
      </c>
      <c r="F75" s="1">
        <v>0</v>
      </c>
      <c r="G75" s="2">
        <v>46183</v>
      </c>
      <c r="H75" s="1">
        <v>11</v>
      </c>
    </row>
    <row r="76" spans="1:8" x14ac:dyDescent="0.25">
      <c r="A76" s="1">
        <v>0</v>
      </c>
      <c r="B76" s="1">
        <v>75</v>
      </c>
      <c r="C76" s="1">
        <v>12</v>
      </c>
      <c r="D76" s="1">
        <v>1</v>
      </c>
      <c r="E76" s="1">
        <v>901</v>
      </c>
      <c r="F76" s="1">
        <v>1</v>
      </c>
      <c r="G76" s="2">
        <v>46184</v>
      </c>
      <c r="H76" s="1">
        <v>11</v>
      </c>
    </row>
    <row r="77" spans="1:8" x14ac:dyDescent="0.25">
      <c r="A77" s="1">
        <v>0</v>
      </c>
      <c r="B77" s="1">
        <v>76</v>
      </c>
      <c r="C77" s="1">
        <v>18</v>
      </c>
      <c r="D77" s="1">
        <v>1</v>
      </c>
      <c r="E77" s="1">
        <v>901</v>
      </c>
      <c r="F77" s="1">
        <v>0</v>
      </c>
      <c r="G77" s="2">
        <v>46184</v>
      </c>
      <c r="H77" s="1">
        <v>11</v>
      </c>
    </row>
    <row r="78" spans="1:8" x14ac:dyDescent="0.25">
      <c r="A78" s="1">
        <v>0</v>
      </c>
      <c r="B78" s="1">
        <v>77</v>
      </c>
      <c r="C78" s="1">
        <v>15</v>
      </c>
      <c r="D78" s="1">
        <v>1</v>
      </c>
      <c r="E78" s="1">
        <v>901</v>
      </c>
      <c r="F78" s="1">
        <v>1</v>
      </c>
      <c r="G78" s="2">
        <v>46185</v>
      </c>
      <c r="H78" s="1">
        <v>11</v>
      </c>
    </row>
    <row r="79" spans="1:8" x14ac:dyDescent="0.25">
      <c r="A79" s="1">
        <v>0</v>
      </c>
      <c r="B79" s="1">
        <v>78</v>
      </c>
      <c r="C79" s="1">
        <v>24</v>
      </c>
      <c r="D79" s="1">
        <v>1</v>
      </c>
      <c r="E79" s="1">
        <v>901</v>
      </c>
      <c r="F79" s="1">
        <v>0</v>
      </c>
      <c r="G79" s="2">
        <v>46185</v>
      </c>
      <c r="H79" s="1">
        <v>11</v>
      </c>
    </row>
    <row r="80" spans="1:8" x14ac:dyDescent="0.25">
      <c r="A80" s="1">
        <v>0</v>
      </c>
      <c r="B80" s="1">
        <v>79</v>
      </c>
      <c r="C80" s="1">
        <v>4</v>
      </c>
      <c r="D80" s="1">
        <v>110</v>
      </c>
      <c r="E80" s="1">
        <v>104</v>
      </c>
      <c r="F80" s="1">
        <v>11</v>
      </c>
      <c r="G80" s="2">
        <v>46186</v>
      </c>
      <c r="H80" s="1">
        <v>10</v>
      </c>
    </row>
    <row r="81" spans="1:8" x14ac:dyDescent="0.25">
      <c r="A81" s="1">
        <v>0</v>
      </c>
      <c r="B81" s="1">
        <v>80</v>
      </c>
      <c r="C81" s="1">
        <v>5</v>
      </c>
      <c r="D81" s="1">
        <v>30</v>
      </c>
      <c r="E81" s="1">
        <v>105</v>
      </c>
      <c r="F81" s="1">
        <v>3</v>
      </c>
      <c r="G81" s="2">
        <v>46186</v>
      </c>
      <c r="H81" s="1">
        <v>10</v>
      </c>
    </row>
    <row r="82" spans="1:8" x14ac:dyDescent="0.25">
      <c r="A82" s="1">
        <v>0</v>
      </c>
      <c r="B82" s="1">
        <v>81</v>
      </c>
      <c r="C82" s="1">
        <v>6</v>
      </c>
      <c r="D82" s="1">
        <v>100</v>
      </c>
      <c r="E82" s="1">
        <v>106</v>
      </c>
      <c r="F82" s="1">
        <v>10</v>
      </c>
      <c r="G82" s="2">
        <v>46186</v>
      </c>
      <c r="H82" s="1">
        <v>10</v>
      </c>
    </row>
    <row r="83" spans="1:8" x14ac:dyDescent="0.25">
      <c r="A83" s="1">
        <v>0</v>
      </c>
      <c r="B83" s="1">
        <v>82</v>
      </c>
      <c r="C83" s="1">
        <v>7</v>
      </c>
      <c r="D83" s="1">
        <v>30</v>
      </c>
      <c r="E83" s="1">
        <v>107</v>
      </c>
      <c r="F83" s="1">
        <v>3</v>
      </c>
      <c r="G83" s="2">
        <v>46186</v>
      </c>
      <c r="H83" s="1">
        <v>10</v>
      </c>
    </row>
    <row r="84" spans="1:8" x14ac:dyDescent="0.25">
      <c r="A84" s="1">
        <v>0</v>
      </c>
      <c r="B84" s="1">
        <v>83</v>
      </c>
      <c r="C84" s="1">
        <v>8</v>
      </c>
      <c r="D84" s="1">
        <v>20</v>
      </c>
      <c r="E84" s="1">
        <v>108</v>
      </c>
      <c r="F84" s="1">
        <v>2</v>
      </c>
      <c r="G84" s="2">
        <v>46186</v>
      </c>
      <c r="H84" s="1">
        <v>10</v>
      </c>
    </row>
    <row r="85" spans="1:8" x14ac:dyDescent="0.25">
      <c r="A85" s="1">
        <v>0</v>
      </c>
      <c r="B85" s="1">
        <v>84</v>
      </c>
      <c r="C85" s="1">
        <v>12</v>
      </c>
      <c r="D85" s="1">
        <v>1</v>
      </c>
      <c r="E85" s="1">
        <v>901</v>
      </c>
      <c r="F85" s="1">
        <v>1</v>
      </c>
      <c r="G85" s="2">
        <v>46186</v>
      </c>
      <c r="H85" s="1">
        <v>11</v>
      </c>
    </row>
    <row r="86" spans="1:8" x14ac:dyDescent="0.25">
      <c r="A86" s="1">
        <v>0</v>
      </c>
      <c r="B86" s="1">
        <v>85</v>
      </c>
      <c r="C86" s="1">
        <v>18</v>
      </c>
      <c r="D86" s="1">
        <v>1</v>
      </c>
      <c r="E86" s="1">
        <v>901</v>
      </c>
      <c r="F86" s="1">
        <v>0</v>
      </c>
      <c r="G86" s="2">
        <v>46186</v>
      </c>
      <c r="H86" s="1">
        <v>11</v>
      </c>
    </row>
    <row r="87" spans="1:8" x14ac:dyDescent="0.25">
      <c r="A87" s="1">
        <v>0</v>
      </c>
      <c r="B87" s="1">
        <v>86</v>
      </c>
      <c r="C87" s="1">
        <v>9</v>
      </c>
      <c r="D87" s="1">
        <v>1</v>
      </c>
      <c r="E87" s="1">
        <v>901</v>
      </c>
      <c r="F87" s="1">
        <v>1</v>
      </c>
      <c r="G87" s="2">
        <v>46187</v>
      </c>
      <c r="H87" s="1">
        <v>11</v>
      </c>
    </row>
    <row r="88" spans="1:8" x14ac:dyDescent="0.25">
      <c r="A88" s="1">
        <v>0</v>
      </c>
      <c r="B88" s="1">
        <v>87</v>
      </c>
      <c r="C88" s="1">
        <v>24</v>
      </c>
      <c r="D88" s="1">
        <v>1</v>
      </c>
      <c r="E88" s="1">
        <v>901</v>
      </c>
      <c r="F88" s="1">
        <v>0</v>
      </c>
      <c r="G88" s="2">
        <v>46187</v>
      </c>
      <c r="H88" s="1">
        <v>11</v>
      </c>
    </row>
    <row r="89" spans="1:8" x14ac:dyDescent="0.25">
      <c r="A89" s="1">
        <v>0</v>
      </c>
      <c r="B89" s="1">
        <v>88</v>
      </c>
      <c r="C89" s="1">
        <v>12</v>
      </c>
      <c r="D89" s="1">
        <v>1</v>
      </c>
      <c r="E89" s="1">
        <v>901</v>
      </c>
      <c r="F89" s="1">
        <v>1</v>
      </c>
      <c r="G89" s="2">
        <v>46188</v>
      </c>
      <c r="H89" s="1">
        <v>11</v>
      </c>
    </row>
    <row r="90" spans="1:8" x14ac:dyDescent="0.25">
      <c r="A90" s="1">
        <v>0</v>
      </c>
      <c r="B90" s="1">
        <v>89</v>
      </c>
      <c r="C90" s="1">
        <v>18</v>
      </c>
      <c r="D90" s="1">
        <v>1</v>
      </c>
      <c r="E90" s="1">
        <v>901</v>
      </c>
      <c r="F90" s="1">
        <v>0</v>
      </c>
      <c r="G90" s="2">
        <v>46188</v>
      </c>
      <c r="H90" s="1">
        <v>11</v>
      </c>
    </row>
    <row r="91" spans="1:8" x14ac:dyDescent="0.25">
      <c r="A91" s="1">
        <v>0</v>
      </c>
      <c r="B91" s="1">
        <v>90</v>
      </c>
      <c r="C91" s="1">
        <v>18</v>
      </c>
      <c r="D91" s="1">
        <v>1</v>
      </c>
      <c r="E91" s="1">
        <v>901</v>
      </c>
      <c r="F91" s="1">
        <v>0</v>
      </c>
      <c r="G91" s="2">
        <v>46189</v>
      </c>
      <c r="H91" s="1">
        <v>11</v>
      </c>
    </row>
    <row r="92" spans="1:8" x14ac:dyDescent="0.25">
      <c r="A92" s="1">
        <v>0</v>
      </c>
      <c r="B92" s="1">
        <v>91</v>
      </c>
      <c r="C92" s="1">
        <v>15</v>
      </c>
      <c r="D92" s="1">
        <v>1</v>
      </c>
      <c r="E92" s="1">
        <v>901</v>
      </c>
      <c r="F92" s="1">
        <v>1</v>
      </c>
      <c r="G92" s="2">
        <v>46189</v>
      </c>
      <c r="H92" s="1">
        <v>11</v>
      </c>
    </row>
    <row r="93" spans="1:8" x14ac:dyDescent="0.25">
      <c r="A93" s="1">
        <v>0</v>
      </c>
      <c r="B93" s="1">
        <v>92</v>
      </c>
      <c r="C93" s="1">
        <v>9</v>
      </c>
      <c r="D93" s="1">
        <v>1</v>
      </c>
      <c r="E93" s="1">
        <v>901</v>
      </c>
      <c r="F93" s="1">
        <v>1</v>
      </c>
      <c r="G93" s="2">
        <v>46190</v>
      </c>
      <c r="H93" s="1">
        <v>11</v>
      </c>
    </row>
    <row r="94" spans="1:8" x14ac:dyDescent="0.25">
      <c r="A94" s="1">
        <v>0</v>
      </c>
      <c r="B94" s="1">
        <v>93</v>
      </c>
      <c r="C94" s="1">
        <v>21</v>
      </c>
      <c r="D94" s="1">
        <v>1</v>
      </c>
      <c r="E94" s="1">
        <v>901</v>
      </c>
      <c r="F94" s="1">
        <v>0</v>
      </c>
      <c r="G94" s="2">
        <v>46190</v>
      </c>
      <c r="H94" s="1">
        <v>11</v>
      </c>
    </row>
    <row r="95" spans="1:8" x14ac:dyDescent="0.25">
      <c r="A95" s="1">
        <v>0</v>
      </c>
      <c r="B95" s="1">
        <v>94</v>
      </c>
      <c r="C95" s="1">
        <v>15</v>
      </c>
      <c r="D95" s="1">
        <v>1</v>
      </c>
      <c r="E95" s="1">
        <v>901</v>
      </c>
      <c r="F95" s="1">
        <v>1</v>
      </c>
      <c r="G95" s="2">
        <v>46191</v>
      </c>
      <c r="H95" s="1">
        <v>11</v>
      </c>
    </row>
    <row r="96" spans="1:8" x14ac:dyDescent="0.25">
      <c r="A96" s="1">
        <v>0</v>
      </c>
      <c r="B96" s="1">
        <v>95</v>
      </c>
      <c r="C96" s="1">
        <v>18</v>
      </c>
      <c r="D96" s="1">
        <v>1</v>
      </c>
      <c r="E96" s="1">
        <v>901</v>
      </c>
      <c r="F96" s="1">
        <v>0</v>
      </c>
      <c r="G96" s="2">
        <v>46191</v>
      </c>
      <c r="H96" s="1">
        <v>11</v>
      </c>
    </row>
    <row r="97" spans="1:6" x14ac:dyDescent="0.25">
      <c r="A97" s="1"/>
      <c r="D97" s="1"/>
      <c r="F97" s="1"/>
    </row>
    <row r="98" spans="1:6" x14ac:dyDescent="0.25">
      <c r="C98" s="1"/>
      <c r="F98" s="1"/>
    </row>
    <row r="99" spans="1:6" x14ac:dyDescent="0.25">
      <c r="C99" s="1"/>
    </row>
    <row r="100" spans="1:6" x14ac:dyDescent="0.25">
      <c r="C100" s="1"/>
    </row>
    <row r="101" spans="1:6" x14ac:dyDescent="0.25">
      <c r="C101" s="1"/>
    </row>
    <row r="102" spans="1:6" x14ac:dyDescent="0.25">
      <c r="C102" s="1"/>
    </row>
    <row r="103" spans="1:6" x14ac:dyDescent="0.25">
      <c r="C103" s="1"/>
    </row>
    <row r="104" spans="1:6" x14ac:dyDescent="0.25">
      <c r="C104" s="1"/>
    </row>
    <row r="105" spans="1:6" x14ac:dyDescent="0.25">
      <c r="C105" s="1"/>
    </row>
    <row r="106" spans="1:6" x14ac:dyDescent="0.25">
      <c r="C106" s="1"/>
    </row>
    <row r="107" spans="1:6" x14ac:dyDescent="0.25">
      <c r="C107" s="1"/>
    </row>
    <row r="108" spans="1:6" x14ac:dyDescent="0.25">
      <c r="C108" s="1"/>
    </row>
    <row r="109" spans="1:6" x14ac:dyDescent="0.25">
      <c r="C109" s="1"/>
    </row>
    <row r="110" spans="1:6" x14ac:dyDescent="0.25">
      <c r="C110" s="1"/>
    </row>
    <row r="111" spans="1:6" x14ac:dyDescent="0.25">
      <c r="C111" s="1"/>
    </row>
    <row r="112" spans="1:6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</sheetPr>
  <dimension ref="A1:C59"/>
  <sheetViews>
    <sheetView topLeftCell="A42" workbookViewId="0">
      <selection activeCell="E53" sqref="E53"/>
    </sheetView>
  </sheetViews>
  <sheetFormatPr baseColWidth="10" defaultRowHeight="15" x14ac:dyDescent="0.25"/>
  <cols>
    <col min="1" max="1" width="4.28515625" customWidth="1"/>
    <col min="2" max="2" width="17.28515625" customWidth="1"/>
  </cols>
  <sheetData>
    <row r="1" spans="1:3" x14ac:dyDescent="0.25">
      <c r="A1" t="s">
        <v>177</v>
      </c>
      <c r="B1" t="s">
        <v>178</v>
      </c>
      <c r="C1" t="s">
        <v>215</v>
      </c>
    </row>
    <row r="2" spans="1:3" x14ac:dyDescent="0.25">
      <c r="A2" s="1">
        <v>1</v>
      </c>
      <c r="B2" t="s">
        <v>179</v>
      </c>
      <c r="C2" t="s">
        <v>4</v>
      </c>
    </row>
    <row r="3" spans="1:3" x14ac:dyDescent="0.25">
      <c r="A3" s="1">
        <v>2</v>
      </c>
      <c r="B3" t="s">
        <v>180</v>
      </c>
      <c r="C3" t="s">
        <v>4</v>
      </c>
    </row>
    <row r="4" spans="1:3" x14ac:dyDescent="0.25">
      <c r="A4" s="1">
        <v>3</v>
      </c>
      <c r="B4" t="s">
        <v>186</v>
      </c>
      <c r="C4" t="s">
        <v>4</v>
      </c>
    </row>
    <row r="5" spans="1:3" x14ac:dyDescent="0.25">
      <c r="A5" s="1">
        <v>4</v>
      </c>
      <c r="B5" s="10" t="s">
        <v>187</v>
      </c>
      <c r="C5" s="10" t="s">
        <v>6</v>
      </c>
    </row>
    <row r="6" spans="1:3" x14ac:dyDescent="0.25">
      <c r="A6" s="1">
        <v>5</v>
      </c>
      <c r="B6" s="12" t="s">
        <v>188</v>
      </c>
      <c r="C6" s="12" t="s">
        <v>6</v>
      </c>
    </row>
    <row r="7" spans="1:3" x14ac:dyDescent="0.25">
      <c r="A7" s="1">
        <v>6</v>
      </c>
      <c r="B7" s="10" t="s">
        <v>189</v>
      </c>
      <c r="C7" s="10" t="s">
        <v>6</v>
      </c>
    </row>
    <row r="8" spans="1:3" x14ac:dyDescent="0.25">
      <c r="A8" s="1">
        <v>7</v>
      </c>
      <c r="B8" s="12" t="s">
        <v>190</v>
      </c>
      <c r="C8" s="12" t="s">
        <v>6</v>
      </c>
    </row>
    <row r="9" spans="1:3" x14ac:dyDescent="0.25">
      <c r="A9" s="1">
        <v>8</v>
      </c>
      <c r="B9" s="10" t="s">
        <v>191</v>
      </c>
      <c r="C9" s="10" t="s">
        <v>6</v>
      </c>
    </row>
    <row r="10" spans="1:3" x14ac:dyDescent="0.25">
      <c r="A10" s="1">
        <v>9</v>
      </c>
      <c r="B10" t="s">
        <v>192</v>
      </c>
      <c r="C10" t="s">
        <v>5</v>
      </c>
    </row>
    <row r="11" spans="1:3" x14ac:dyDescent="0.25">
      <c r="A11" s="1">
        <v>10</v>
      </c>
      <c r="B11" t="s">
        <v>193</v>
      </c>
      <c r="C11" t="s">
        <v>5</v>
      </c>
    </row>
    <row r="12" spans="1:3" x14ac:dyDescent="0.25">
      <c r="A12" s="1">
        <v>11</v>
      </c>
      <c r="B12" t="s">
        <v>194</v>
      </c>
      <c r="C12" t="s">
        <v>5</v>
      </c>
    </row>
    <row r="13" spans="1:3" x14ac:dyDescent="0.25">
      <c r="A13" s="1">
        <v>12</v>
      </c>
      <c r="B13" t="s">
        <v>195</v>
      </c>
      <c r="C13" t="s">
        <v>5</v>
      </c>
    </row>
    <row r="14" spans="1:3" x14ac:dyDescent="0.25">
      <c r="A14" s="1">
        <v>13</v>
      </c>
      <c r="B14" t="s">
        <v>196</v>
      </c>
      <c r="C14" t="s">
        <v>5</v>
      </c>
    </row>
    <row r="15" spans="1:3" x14ac:dyDescent="0.25">
      <c r="A15" s="1">
        <v>14</v>
      </c>
      <c r="B15" t="s">
        <v>197</v>
      </c>
      <c r="C15" t="s">
        <v>5</v>
      </c>
    </row>
    <row r="16" spans="1:3" x14ac:dyDescent="0.25">
      <c r="A16" s="1">
        <v>15</v>
      </c>
      <c r="B16" t="s">
        <v>198</v>
      </c>
      <c r="C16" t="s">
        <v>5</v>
      </c>
    </row>
    <row r="17" spans="1:3" x14ac:dyDescent="0.25">
      <c r="A17" s="1">
        <v>16</v>
      </c>
      <c r="B17" t="s">
        <v>199</v>
      </c>
      <c r="C17" t="s">
        <v>5</v>
      </c>
    </row>
    <row r="18" spans="1:3" x14ac:dyDescent="0.25">
      <c r="A18" s="1">
        <v>17</v>
      </c>
      <c r="B18" t="s">
        <v>200</v>
      </c>
      <c r="C18" t="s">
        <v>5</v>
      </c>
    </row>
    <row r="19" spans="1:3" x14ac:dyDescent="0.25">
      <c r="A19" s="1">
        <v>18</v>
      </c>
      <c r="B19" t="s">
        <v>201</v>
      </c>
      <c r="C19" t="s">
        <v>5</v>
      </c>
    </row>
    <row r="20" spans="1:3" x14ac:dyDescent="0.25">
      <c r="A20" s="1">
        <v>19</v>
      </c>
      <c r="B20" t="s">
        <v>202</v>
      </c>
      <c r="C20" t="s">
        <v>5</v>
      </c>
    </row>
    <row r="21" spans="1:3" x14ac:dyDescent="0.25">
      <c r="A21" s="1">
        <v>20</v>
      </c>
      <c r="B21" t="s">
        <v>203</v>
      </c>
      <c r="C21" t="s">
        <v>5</v>
      </c>
    </row>
    <row r="22" spans="1:3" x14ac:dyDescent="0.25">
      <c r="A22" s="1">
        <v>21</v>
      </c>
      <c r="B22" t="s">
        <v>204</v>
      </c>
      <c r="C22" t="s">
        <v>5</v>
      </c>
    </row>
    <row r="23" spans="1:3" x14ac:dyDescent="0.25">
      <c r="A23" s="1">
        <v>22</v>
      </c>
      <c r="B23" t="s">
        <v>205</v>
      </c>
      <c r="C23" t="s">
        <v>5</v>
      </c>
    </row>
    <row r="24" spans="1:3" x14ac:dyDescent="0.25">
      <c r="A24" s="1">
        <v>23</v>
      </c>
      <c r="B24" t="s">
        <v>206</v>
      </c>
      <c r="C24" t="s">
        <v>5</v>
      </c>
    </row>
    <row r="25" spans="1:3" x14ac:dyDescent="0.25">
      <c r="A25" s="1">
        <v>24</v>
      </c>
      <c r="B25" t="s">
        <v>207</v>
      </c>
      <c r="C25" t="s">
        <v>5</v>
      </c>
    </row>
    <row r="26" spans="1:3" x14ac:dyDescent="0.25">
      <c r="A26" s="1">
        <v>25</v>
      </c>
      <c r="B26" t="s">
        <v>208</v>
      </c>
      <c r="C26" t="s">
        <v>5</v>
      </c>
    </row>
    <row r="27" spans="1:3" x14ac:dyDescent="0.25">
      <c r="A27" s="1">
        <v>26</v>
      </c>
      <c r="B27" t="s">
        <v>209</v>
      </c>
      <c r="C27" t="s">
        <v>5</v>
      </c>
    </row>
    <row r="28" spans="1:3" x14ac:dyDescent="0.25">
      <c r="A28" s="1">
        <v>27</v>
      </c>
      <c r="B28" t="s">
        <v>210</v>
      </c>
      <c r="C28" t="s">
        <v>137</v>
      </c>
    </row>
    <row r="29" spans="1:3" x14ac:dyDescent="0.25">
      <c r="A29" s="1">
        <v>28</v>
      </c>
      <c r="B29" t="s">
        <v>144</v>
      </c>
      <c r="C29" t="s">
        <v>6</v>
      </c>
    </row>
    <row r="30" spans="1:3" x14ac:dyDescent="0.25">
      <c r="A30" s="1">
        <v>29</v>
      </c>
      <c r="B30" t="s">
        <v>143</v>
      </c>
      <c r="C30" t="s">
        <v>5</v>
      </c>
    </row>
    <row r="31" spans="1:3" x14ac:dyDescent="0.25">
      <c r="A31" s="1">
        <v>30</v>
      </c>
      <c r="B31" t="s">
        <v>156</v>
      </c>
      <c r="C31" t="s">
        <v>157</v>
      </c>
    </row>
    <row r="32" spans="1:3" x14ac:dyDescent="0.25">
      <c r="A32" s="11">
        <v>98</v>
      </c>
      <c r="B32" s="12" t="s">
        <v>12</v>
      </c>
      <c r="C32" s="12" t="s">
        <v>11</v>
      </c>
    </row>
    <row r="33" spans="1:3" x14ac:dyDescent="0.25">
      <c r="A33" s="9">
        <v>99</v>
      </c>
      <c r="B33" s="10" t="s">
        <v>13</v>
      </c>
      <c r="C33" s="10" t="s">
        <v>11</v>
      </c>
    </row>
    <row r="34" spans="1:3" x14ac:dyDescent="0.25">
      <c r="A34" s="11">
        <v>100</v>
      </c>
      <c r="B34" s="12" t="s">
        <v>7</v>
      </c>
      <c r="C34" s="12" t="s">
        <v>11</v>
      </c>
    </row>
    <row r="35" spans="1:3" x14ac:dyDescent="0.25">
      <c r="A35" s="9">
        <v>101</v>
      </c>
      <c r="B35" s="10" t="s">
        <v>211</v>
      </c>
      <c r="C35" s="10" t="s">
        <v>8</v>
      </c>
    </row>
    <row r="36" spans="1:3" x14ac:dyDescent="0.25">
      <c r="A36" s="11">
        <v>102</v>
      </c>
      <c r="B36" s="12" t="s">
        <v>212</v>
      </c>
      <c r="C36" s="12" t="s">
        <v>8</v>
      </c>
    </row>
    <row r="37" spans="1:3" x14ac:dyDescent="0.25">
      <c r="A37" s="9">
        <v>103</v>
      </c>
      <c r="B37" s="10" t="s">
        <v>213</v>
      </c>
      <c r="C37" s="10" t="s">
        <v>8</v>
      </c>
    </row>
    <row r="38" spans="1:3" x14ac:dyDescent="0.25">
      <c r="A38" s="11">
        <v>104</v>
      </c>
      <c r="B38" s="12" t="s">
        <v>214</v>
      </c>
      <c r="C38" s="12" t="s">
        <v>9</v>
      </c>
    </row>
    <row r="39" spans="1:3" x14ac:dyDescent="0.25">
      <c r="A39" s="9">
        <v>105</v>
      </c>
      <c r="B39" s="10" t="s">
        <v>185</v>
      </c>
      <c r="C39" s="10" t="s">
        <v>9</v>
      </c>
    </row>
    <row r="40" spans="1:3" x14ac:dyDescent="0.25">
      <c r="A40" s="11">
        <v>106</v>
      </c>
      <c r="B40" s="12" t="s">
        <v>184</v>
      </c>
      <c r="C40" s="12" t="s">
        <v>9</v>
      </c>
    </row>
    <row r="41" spans="1:3" x14ac:dyDescent="0.25">
      <c r="A41" s="9">
        <v>107</v>
      </c>
      <c r="B41" s="10" t="s">
        <v>183</v>
      </c>
      <c r="C41" s="10" t="s">
        <v>9</v>
      </c>
    </row>
    <row r="42" spans="1:3" x14ac:dyDescent="0.25">
      <c r="A42" s="11">
        <v>108</v>
      </c>
      <c r="B42" s="12" t="s">
        <v>182</v>
      </c>
      <c r="C42" s="12" t="s">
        <v>9</v>
      </c>
    </row>
    <row r="43" spans="1:3" x14ac:dyDescent="0.25">
      <c r="A43" s="11">
        <v>128</v>
      </c>
      <c r="B43" s="12" t="s">
        <v>145</v>
      </c>
      <c r="C43" s="12" t="s">
        <v>9</v>
      </c>
    </row>
    <row r="44" spans="1:3" x14ac:dyDescent="0.25">
      <c r="A44">
        <v>200</v>
      </c>
      <c r="B44" t="s">
        <v>310</v>
      </c>
      <c r="C44" s="12" t="s">
        <v>318</v>
      </c>
    </row>
    <row r="45" spans="1:3" x14ac:dyDescent="0.25">
      <c r="A45">
        <v>201</v>
      </c>
      <c r="B45" t="s">
        <v>311</v>
      </c>
      <c r="C45" s="12" t="s">
        <v>318</v>
      </c>
    </row>
    <row r="46" spans="1:3" x14ac:dyDescent="0.25">
      <c r="A46">
        <v>202</v>
      </c>
      <c r="B46" t="s">
        <v>312</v>
      </c>
      <c r="C46" s="12" t="s">
        <v>318</v>
      </c>
    </row>
    <row r="47" spans="1:3" x14ac:dyDescent="0.25">
      <c r="A47">
        <v>203</v>
      </c>
      <c r="B47" t="s">
        <v>313</v>
      </c>
      <c r="C47" s="12" t="s">
        <v>318</v>
      </c>
    </row>
    <row r="48" spans="1:3" x14ac:dyDescent="0.25">
      <c r="A48">
        <v>204</v>
      </c>
      <c r="B48" t="s">
        <v>314</v>
      </c>
      <c r="C48" s="12" t="s">
        <v>318</v>
      </c>
    </row>
    <row r="49" spans="1:3" x14ac:dyDescent="0.25">
      <c r="A49">
        <v>205</v>
      </c>
      <c r="B49" t="s">
        <v>315</v>
      </c>
      <c r="C49" s="12" t="s">
        <v>318</v>
      </c>
    </row>
    <row r="50" spans="1:3" x14ac:dyDescent="0.25">
      <c r="A50">
        <v>206</v>
      </c>
      <c r="B50" t="s">
        <v>316</v>
      </c>
      <c r="C50" s="12" t="s">
        <v>318</v>
      </c>
    </row>
    <row r="51" spans="1:3" x14ac:dyDescent="0.25">
      <c r="A51">
        <v>207</v>
      </c>
      <c r="B51" t="s">
        <v>317</v>
      </c>
      <c r="C51" s="12" t="s">
        <v>318</v>
      </c>
    </row>
    <row r="52" spans="1:3" x14ac:dyDescent="0.25">
      <c r="A52" s="11">
        <v>300</v>
      </c>
      <c r="B52" s="12" t="s">
        <v>49</v>
      </c>
      <c r="C52" s="12" t="s">
        <v>5</v>
      </c>
    </row>
    <row r="53" spans="1:3" x14ac:dyDescent="0.25">
      <c r="A53" s="11">
        <v>301</v>
      </c>
      <c r="B53" s="12" t="s">
        <v>50</v>
      </c>
      <c r="C53" s="12" t="s">
        <v>5</v>
      </c>
    </row>
    <row r="54" spans="1:3" x14ac:dyDescent="0.25">
      <c r="A54" s="11">
        <v>800</v>
      </c>
      <c r="B54" s="12" t="s">
        <v>44</v>
      </c>
      <c r="C54" s="12" t="s">
        <v>44</v>
      </c>
    </row>
    <row r="55" spans="1:3" x14ac:dyDescent="0.25">
      <c r="A55" s="1">
        <v>900</v>
      </c>
      <c r="B55" t="s">
        <v>19</v>
      </c>
      <c r="C55" t="s">
        <v>19</v>
      </c>
    </row>
    <row r="56" spans="1:3" x14ac:dyDescent="0.25">
      <c r="A56" s="1">
        <v>901</v>
      </c>
      <c r="B56" t="s">
        <v>181</v>
      </c>
      <c r="C56" t="s">
        <v>11</v>
      </c>
    </row>
    <row r="57" spans="1:3" x14ac:dyDescent="0.25">
      <c r="A57">
        <v>902</v>
      </c>
      <c r="B57" t="s">
        <v>142</v>
      </c>
      <c r="C57" t="s">
        <v>19</v>
      </c>
    </row>
    <row r="58" spans="1:3" x14ac:dyDescent="0.25">
      <c r="A58">
        <v>903</v>
      </c>
      <c r="B58" t="s">
        <v>146</v>
      </c>
      <c r="C58" t="s">
        <v>146</v>
      </c>
    </row>
    <row r="59" spans="1:3" x14ac:dyDescent="0.25">
      <c r="A59">
        <v>904</v>
      </c>
      <c r="B59" t="s">
        <v>148</v>
      </c>
      <c r="C59" t="s">
        <v>149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14"/>
  <sheetViews>
    <sheetView workbookViewId="0">
      <selection activeCell="H12" sqref="H12"/>
    </sheetView>
  </sheetViews>
  <sheetFormatPr baseColWidth="10" defaultRowHeight="15" x14ac:dyDescent="0.25"/>
  <cols>
    <col min="1" max="1" width="1.7109375" style="1" customWidth="1"/>
    <col min="2" max="2" width="3.28515625" style="1" customWidth="1"/>
    <col min="3" max="5" width="12" style="1" customWidth="1"/>
    <col min="6" max="8" width="12" customWidth="1"/>
  </cols>
  <sheetData>
    <row r="1" spans="1:6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247</v>
      </c>
    </row>
    <row r="2" spans="1:6" x14ac:dyDescent="0.25">
      <c r="A2" s="1">
        <v>1</v>
      </c>
      <c r="B2" s="1">
        <v>1</v>
      </c>
      <c r="C2" s="1">
        <v>800</v>
      </c>
      <c r="D2" s="1">
        <v>1</v>
      </c>
      <c r="E2" s="1">
        <v>10000000</v>
      </c>
      <c r="F2" s="2">
        <v>46164</v>
      </c>
    </row>
    <row r="3" spans="1:6" x14ac:dyDescent="0.25">
      <c r="A3" s="1">
        <v>1</v>
      </c>
      <c r="B3" s="1">
        <v>2</v>
      </c>
      <c r="C3" s="1">
        <v>300</v>
      </c>
      <c r="D3" s="1">
        <v>2</v>
      </c>
      <c r="E3" s="1">
        <v>470000</v>
      </c>
      <c r="F3" s="2">
        <v>46165</v>
      </c>
    </row>
    <row r="4" spans="1:6" x14ac:dyDescent="0.25">
      <c r="A4" s="1">
        <v>1</v>
      </c>
      <c r="B4" s="1">
        <v>3</v>
      </c>
      <c r="C4" s="1">
        <v>27</v>
      </c>
      <c r="D4" s="1">
        <v>5</v>
      </c>
      <c r="E4" s="1">
        <v>1000000</v>
      </c>
      <c r="F4" s="2">
        <v>46165</v>
      </c>
    </row>
    <row r="5" spans="1:6" x14ac:dyDescent="0.25">
      <c r="A5" s="1">
        <v>1</v>
      </c>
      <c r="B5" s="1">
        <v>4</v>
      </c>
      <c r="C5" s="1">
        <v>902</v>
      </c>
      <c r="D5" s="1">
        <v>1</v>
      </c>
      <c r="E5" s="1">
        <v>2500000</v>
      </c>
      <c r="F5" s="2">
        <v>46166</v>
      </c>
    </row>
    <row r="6" spans="1:6" x14ac:dyDescent="0.25">
      <c r="A6" s="1">
        <v>1</v>
      </c>
      <c r="B6" s="1">
        <v>5</v>
      </c>
      <c r="C6" s="1">
        <v>29</v>
      </c>
      <c r="D6" s="1">
        <v>1</v>
      </c>
      <c r="E6" s="1">
        <v>1500000</v>
      </c>
      <c r="F6" s="2">
        <v>46166</v>
      </c>
    </row>
    <row r="7" spans="1:6" x14ac:dyDescent="0.25">
      <c r="A7" s="1">
        <v>1</v>
      </c>
      <c r="B7" s="1">
        <v>6</v>
      </c>
      <c r="C7" s="1">
        <v>128</v>
      </c>
      <c r="D7" s="1">
        <v>4</v>
      </c>
      <c r="E7" s="1">
        <v>1900000</v>
      </c>
      <c r="F7" s="2">
        <v>46166</v>
      </c>
    </row>
    <row r="8" spans="1:6" x14ac:dyDescent="0.25">
      <c r="A8" s="1">
        <v>1</v>
      </c>
      <c r="B8" s="1">
        <v>7</v>
      </c>
      <c r="C8" s="1">
        <v>27</v>
      </c>
      <c r="D8" s="1">
        <v>1</v>
      </c>
      <c r="E8" s="1">
        <v>300000</v>
      </c>
      <c r="F8" s="2">
        <v>46168</v>
      </c>
    </row>
    <row r="9" spans="1:6" x14ac:dyDescent="0.25">
      <c r="A9" s="1">
        <v>1</v>
      </c>
      <c r="B9" s="1">
        <v>8</v>
      </c>
      <c r="C9" s="1">
        <v>904</v>
      </c>
      <c r="D9" s="1">
        <v>1</v>
      </c>
      <c r="E9" s="1">
        <v>2110000</v>
      </c>
      <c r="F9" s="2">
        <v>46168</v>
      </c>
    </row>
    <row r="10" spans="1:6" x14ac:dyDescent="0.25">
      <c r="A10" s="1">
        <v>1</v>
      </c>
      <c r="B10" s="1">
        <v>9</v>
      </c>
      <c r="C10" s="1">
        <v>27</v>
      </c>
      <c r="D10" s="1">
        <v>2</v>
      </c>
      <c r="E10" s="1">
        <v>480000</v>
      </c>
      <c r="F10" s="2">
        <v>46170</v>
      </c>
    </row>
    <row r="11" spans="1:6" x14ac:dyDescent="0.25">
      <c r="A11" s="1">
        <v>1</v>
      </c>
      <c r="B11" s="1">
        <v>10</v>
      </c>
      <c r="C11" s="1">
        <v>27</v>
      </c>
      <c r="D11" s="1">
        <v>2</v>
      </c>
      <c r="E11" s="1">
        <v>1450000</v>
      </c>
      <c r="F11" s="2">
        <v>46172</v>
      </c>
    </row>
    <row r="12" spans="1:6" x14ac:dyDescent="0.25">
      <c r="A12" s="1">
        <v>1</v>
      </c>
      <c r="B12" s="1">
        <v>11</v>
      </c>
      <c r="C12" s="1">
        <v>27</v>
      </c>
      <c r="D12" s="1">
        <v>4</v>
      </c>
      <c r="E12" s="1">
        <v>1040000</v>
      </c>
      <c r="F12" s="2">
        <v>46177</v>
      </c>
    </row>
    <row r="13" spans="1:6" x14ac:dyDescent="0.25">
      <c r="A13" s="1">
        <v>1</v>
      </c>
      <c r="B13" s="1">
        <v>12</v>
      </c>
      <c r="C13" s="1">
        <v>27</v>
      </c>
      <c r="D13" s="1">
        <v>9</v>
      </c>
      <c r="E13" s="1">
        <v>2600000</v>
      </c>
      <c r="F13" s="2">
        <v>46181</v>
      </c>
    </row>
    <row r="14" spans="1:6" x14ac:dyDescent="0.25">
      <c r="A14" s="1">
        <v>1</v>
      </c>
      <c r="B14" s="1">
        <v>13</v>
      </c>
      <c r="C14" s="1">
        <v>800</v>
      </c>
      <c r="D14" s="1">
        <v>1</v>
      </c>
      <c r="E14" s="1">
        <v>14000000</v>
      </c>
      <c r="F14" s="2">
        <v>46185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F403"/>
  <sheetViews>
    <sheetView topLeftCell="A79" workbookViewId="0">
      <selection activeCell="A95" sqref="A95"/>
    </sheetView>
  </sheetViews>
  <sheetFormatPr baseColWidth="10" defaultRowHeight="15" x14ac:dyDescent="0.25"/>
  <cols>
    <col min="1" max="1" width="4.5703125" style="1" customWidth="1"/>
    <col min="2" max="2" width="4.28515625" customWidth="1"/>
    <col min="3" max="3" width="12" customWidth="1"/>
  </cols>
  <sheetData>
    <row r="1" spans="1:6" x14ac:dyDescent="0.25">
      <c r="A1" t="s">
        <v>0</v>
      </c>
      <c r="B1" t="s">
        <v>248</v>
      </c>
      <c r="C1" t="s">
        <v>16</v>
      </c>
      <c r="D1" t="s">
        <v>17</v>
      </c>
      <c r="E1" t="s">
        <v>18</v>
      </c>
      <c r="F1" t="s">
        <v>147</v>
      </c>
    </row>
    <row r="2" spans="1:6" x14ac:dyDescent="0.25">
      <c r="A2" s="1">
        <v>1</v>
      </c>
      <c r="B2" s="1">
        <v>1</v>
      </c>
      <c r="C2" s="2">
        <v>46157</v>
      </c>
      <c r="D2" s="7">
        <v>0.38472222222222219</v>
      </c>
      <c r="E2" s="1">
        <v>205</v>
      </c>
      <c r="F2" s="1">
        <v>114</v>
      </c>
    </row>
    <row r="3" spans="1:6" x14ac:dyDescent="0.25">
      <c r="A3" s="1">
        <v>1</v>
      </c>
      <c r="B3" s="1">
        <v>2</v>
      </c>
      <c r="C3" s="2">
        <v>46157</v>
      </c>
      <c r="D3" s="7">
        <v>0.45208333333333334</v>
      </c>
      <c r="E3" s="1">
        <v>408</v>
      </c>
      <c r="F3" s="1">
        <v>206</v>
      </c>
    </row>
    <row r="4" spans="1:6" x14ac:dyDescent="0.25">
      <c r="A4" s="1">
        <v>1</v>
      </c>
      <c r="B4" s="1">
        <v>3</v>
      </c>
      <c r="C4" s="2">
        <v>46157</v>
      </c>
      <c r="D4" s="7">
        <v>0.58888888888888891</v>
      </c>
      <c r="E4" s="1">
        <v>535</v>
      </c>
      <c r="F4" s="1">
        <v>300</v>
      </c>
    </row>
    <row r="5" spans="1:6" x14ac:dyDescent="0.25">
      <c r="A5" s="1">
        <v>1</v>
      </c>
      <c r="B5" s="1">
        <v>4</v>
      </c>
      <c r="C5" s="8">
        <v>46157</v>
      </c>
      <c r="D5" s="7">
        <v>0.82847222222222217</v>
      </c>
      <c r="E5" s="1">
        <v>1101</v>
      </c>
      <c r="F5" s="1">
        <v>578</v>
      </c>
    </row>
    <row r="6" spans="1:6" x14ac:dyDescent="0.25">
      <c r="A6" s="1">
        <v>1</v>
      </c>
      <c r="B6" s="1">
        <v>5</v>
      </c>
      <c r="C6" s="2">
        <v>46157</v>
      </c>
      <c r="D6" s="7">
        <v>0.95833333333333337</v>
      </c>
      <c r="E6" s="1">
        <v>1411</v>
      </c>
      <c r="F6" s="1">
        <v>828</v>
      </c>
    </row>
    <row r="7" spans="1:6" x14ac:dyDescent="0.25">
      <c r="A7" s="1">
        <v>1</v>
      </c>
      <c r="B7" s="1">
        <v>6</v>
      </c>
      <c r="C7" s="2">
        <v>46158</v>
      </c>
      <c r="D7" s="7">
        <v>9.4444444444444442E-2</v>
      </c>
      <c r="E7" s="1">
        <v>892</v>
      </c>
      <c r="F7" s="1">
        <v>423</v>
      </c>
    </row>
    <row r="8" spans="1:6" x14ac:dyDescent="0.25">
      <c r="A8" s="1">
        <v>1</v>
      </c>
      <c r="B8" s="1">
        <v>7</v>
      </c>
      <c r="C8" s="2">
        <v>46158</v>
      </c>
      <c r="D8" s="7">
        <v>0.60277777777777775</v>
      </c>
      <c r="E8" s="1">
        <v>886</v>
      </c>
      <c r="F8" s="1">
        <v>478</v>
      </c>
    </row>
    <row r="9" spans="1:6" x14ac:dyDescent="0.25">
      <c r="A9" s="1">
        <v>1</v>
      </c>
      <c r="B9" s="1">
        <v>8</v>
      </c>
      <c r="C9" s="2">
        <v>46158</v>
      </c>
      <c r="D9" s="7">
        <v>0.86388888888888893</v>
      </c>
      <c r="E9" s="1">
        <v>1242</v>
      </c>
      <c r="F9" s="1">
        <v>699</v>
      </c>
    </row>
    <row r="10" spans="1:6" x14ac:dyDescent="0.25">
      <c r="A10" s="1">
        <v>1</v>
      </c>
      <c r="B10" s="1">
        <v>9</v>
      </c>
      <c r="C10" s="2">
        <v>46158</v>
      </c>
      <c r="D10" s="7">
        <v>0.97499999999999998</v>
      </c>
      <c r="E10" s="1">
        <v>1555</v>
      </c>
      <c r="F10" s="1">
        <v>936</v>
      </c>
    </row>
    <row r="11" spans="1:6" x14ac:dyDescent="0.25">
      <c r="A11" s="1">
        <v>1</v>
      </c>
      <c r="B11" s="1">
        <v>10</v>
      </c>
      <c r="C11" s="2">
        <v>46159</v>
      </c>
      <c r="D11" s="7">
        <v>0.13749999999999998</v>
      </c>
      <c r="E11" s="1">
        <v>800</v>
      </c>
      <c r="F11" s="1">
        <v>456</v>
      </c>
    </row>
    <row r="12" spans="1:6" x14ac:dyDescent="0.25">
      <c r="A12" s="1">
        <v>1</v>
      </c>
      <c r="B12" s="1">
        <v>11</v>
      </c>
      <c r="C12" s="2">
        <v>46159</v>
      </c>
      <c r="D12" s="7">
        <v>0.54861111111111105</v>
      </c>
      <c r="E12" s="1">
        <v>744</v>
      </c>
      <c r="F12" s="1">
        <v>406</v>
      </c>
    </row>
    <row r="13" spans="1:6" x14ac:dyDescent="0.25">
      <c r="A13" s="1">
        <v>1</v>
      </c>
      <c r="B13" s="1">
        <v>12</v>
      </c>
      <c r="C13" s="2">
        <v>46159</v>
      </c>
      <c r="D13" s="7">
        <v>0.9159722222222223</v>
      </c>
      <c r="E13" s="1">
        <v>1607</v>
      </c>
      <c r="F13" s="1">
        <v>955</v>
      </c>
    </row>
    <row r="14" spans="1:6" x14ac:dyDescent="0.25">
      <c r="A14" s="1">
        <v>1</v>
      </c>
      <c r="B14" s="1">
        <v>13</v>
      </c>
      <c r="C14" s="2">
        <v>46160</v>
      </c>
      <c r="D14" s="7">
        <v>0.52083333333333337</v>
      </c>
      <c r="E14" s="1">
        <v>554</v>
      </c>
      <c r="F14" s="1">
        <v>312</v>
      </c>
    </row>
    <row r="15" spans="1:6" x14ac:dyDescent="0.25">
      <c r="A15" s="1">
        <v>1</v>
      </c>
      <c r="B15" s="1">
        <v>14</v>
      </c>
      <c r="C15" s="2">
        <v>46160</v>
      </c>
      <c r="D15" s="7">
        <v>0.72499999999999998</v>
      </c>
      <c r="E15" s="1">
        <v>940</v>
      </c>
      <c r="F15" s="1">
        <v>521</v>
      </c>
    </row>
    <row r="16" spans="1:6" x14ac:dyDescent="0.25">
      <c r="A16" s="1">
        <v>1</v>
      </c>
      <c r="B16" s="1">
        <v>15</v>
      </c>
      <c r="C16" s="2">
        <v>46160</v>
      </c>
      <c r="D16" s="7">
        <v>0.86249999999999993</v>
      </c>
      <c r="E16" s="1">
        <v>1240</v>
      </c>
      <c r="F16" s="1">
        <v>687</v>
      </c>
    </row>
    <row r="17" spans="1:6" x14ac:dyDescent="0.25">
      <c r="A17" s="1">
        <v>1</v>
      </c>
      <c r="B17" s="1">
        <v>16</v>
      </c>
      <c r="C17" s="2">
        <v>46161</v>
      </c>
      <c r="D17" s="7">
        <v>0.51597222222222217</v>
      </c>
      <c r="E17" s="1">
        <v>586</v>
      </c>
      <c r="F17" s="1">
        <v>312</v>
      </c>
    </row>
    <row r="18" spans="1:6" x14ac:dyDescent="0.25">
      <c r="A18" s="1">
        <v>1</v>
      </c>
      <c r="B18" s="1">
        <v>17</v>
      </c>
      <c r="C18" s="2">
        <v>46161</v>
      </c>
      <c r="D18" s="7">
        <v>0.72638888888888886</v>
      </c>
      <c r="E18" s="1">
        <v>869</v>
      </c>
      <c r="F18" s="1">
        <v>466</v>
      </c>
    </row>
    <row r="19" spans="1:6" x14ac:dyDescent="0.25">
      <c r="A19" s="1">
        <v>1</v>
      </c>
      <c r="B19" s="1">
        <v>18</v>
      </c>
      <c r="C19" s="2">
        <v>46161</v>
      </c>
      <c r="D19" s="7">
        <v>0.84861111111111109</v>
      </c>
      <c r="E19" s="1">
        <v>1277</v>
      </c>
      <c r="F19" s="1">
        <v>748</v>
      </c>
    </row>
    <row r="20" spans="1:6" x14ac:dyDescent="0.25">
      <c r="A20" s="1">
        <v>1</v>
      </c>
      <c r="B20" s="1">
        <v>19</v>
      </c>
      <c r="C20" s="2">
        <v>46162</v>
      </c>
      <c r="D20" s="7">
        <v>6.0416666666666667E-2</v>
      </c>
      <c r="E20" s="1">
        <v>949</v>
      </c>
      <c r="F20" s="1">
        <v>551</v>
      </c>
    </row>
    <row r="21" spans="1:6" x14ac:dyDescent="0.25">
      <c r="A21" s="1">
        <v>1</v>
      </c>
      <c r="B21" s="1">
        <v>20</v>
      </c>
      <c r="C21" s="2">
        <v>46162</v>
      </c>
      <c r="D21" s="7">
        <v>0.38680555555555557</v>
      </c>
      <c r="E21" s="1">
        <v>221</v>
      </c>
      <c r="F21" s="1">
        <v>126</v>
      </c>
    </row>
    <row r="22" spans="1:6" x14ac:dyDescent="0.25">
      <c r="A22" s="1">
        <v>1</v>
      </c>
      <c r="B22" s="1">
        <v>21</v>
      </c>
      <c r="C22" s="2">
        <v>46162</v>
      </c>
      <c r="D22" s="7">
        <v>0.93541666666666667</v>
      </c>
      <c r="E22" s="1">
        <v>1299</v>
      </c>
      <c r="F22" s="1">
        <v>845</v>
      </c>
    </row>
    <row r="23" spans="1:6" x14ac:dyDescent="0.25">
      <c r="A23" s="1">
        <v>1</v>
      </c>
      <c r="B23" s="1">
        <v>22</v>
      </c>
      <c r="C23" s="2">
        <v>46163</v>
      </c>
      <c r="D23" s="7">
        <v>6.9444444444444434E-2</v>
      </c>
      <c r="E23" s="1">
        <v>1389</v>
      </c>
      <c r="F23" s="1">
        <v>539</v>
      </c>
    </row>
    <row r="24" spans="1:6" x14ac:dyDescent="0.25">
      <c r="A24" s="1">
        <v>1</v>
      </c>
      <c r="B24" s="1">
        <v>23</v>
      </c>
      <c r="C24" s="2">
        <v>46163</v>
      </c>
      <c r="D24" s="7">
        <v>0.47500000000000003</v>
      </c>
      <c r="E24" s="1">
        <v>506</v>
      </c>
      <c r="F24" s="1">
        <v>276</v>
      </c>
    </row>
    <row r="25" spans="1:6" x14ac:dyDescent="0.25">
      <c r="A25" s="1">
        <v>1</v>
      </c>
      <c r="B25" s="1">
        <v>24</v>
      </c>
      <c r="C25" s="2">
        <v>46163</v>
      </c>
      <c r="D25" s="7">
        <v>0.8027777777777777</v>
      </c>
      <c r="E25" s="1">
        <v>1189</v>
      </c>
      <c r="F25" s="1">
        <v>716</v>
      </c>
    </row>
    <row r="26" spans="1:6" x14ac:dyDescent="0.25">
      <c r="A26" s="1">
        <v>1</v>
      </c>
      <c r="B26" s="1">
        <v>25</v>
      </c>
      <c r="C26" s="2">
        <v>46164</v>
      </c>
      <c r="D26" s="7">
        <v>4.8611111111111112E-3</v>
      </c>
      <c r="E26" s="1">
        <v>1419</v>
      </c>
      <c r="F26" s="1">
        <v>810</v>
      </c>
    </row>
    <row r="27" spans="1:6" x14ac:dyDescent="0.25">
      <c r="A27" s="1">
        <v>1</v>
      </c>
      <c r="B27" s="1">
        <v>26</v>
      </c>
      <c r="C27" s="2">
        <v>46164</v>
      </c>
      <c r="D27" s="7">
        <v>0.41041666666666665</v>
      </c>
      <c r="E27" s="1">
        <v>269</v>
      </c>
      <c r="F27" s="1">
        <v>155</v>
      </c>
    </row>
    <row r="28" spans="1:6" x14ac:dyDescent="0.25">
      <c r="A28" s="1">
        <v>1</v>
      </c>
      <c r="B28" s="1">
        <v>27</v>
      </c>
      <c r="C28" s="2">
        <v>46164</v>
      </c>
      <c r="D28" s="7">
        <v>0.97430555555555554</v>
      </c>
      <c r="E28" s="1">
        <v>1519</v>
      </c>
      <c r="F28" s="1">
        <v>942</v>
      </c>
    </row>
    <row r="29" spans="1:6" x14ac:dyDescent="0.25">
      <c r="A29" s="1">
        <v>1</v>
      </c>
      <c r="B29" s="1">
        <v>28</v>
      </c>
      <c r="C29" s="2">
        <v>46165</v>
      </c>
      <c r="D29" s="7">
        <v>0.52708333333333335</v>
      </c>
      <c r="E29" s="1">
        <v>412</v>
      </c>
      <c r="F29" s="1">
        <v>217</v>
      </c>
    </row>
    <row r="30" spans="1:6" x14ac:dyDescent="0.25">
      <c r="A30" s="1">
        <v>1</v>
      </c>
      <c r="B30" s="1">
        <v>29</v>
      </c>
      <c r="C30" s="2">
        <v>46165</v>
      </c>
      <c r="D30" s="7">
        <v>0.77361111111111114</v>
      </c>
      <c r="E30" s="1">
        <v>1085</v>
      </c>
      <c r="F30" s="1">
        <v>630</v>
      </c>
    </row>
    <row r="31" spans="1:6" x14ac:dyDescent="0.25">
      <c r="A31" s="1">
        <v>1</v>
      </c>
      <c r="B31" s="1">
        <v>30</v>
      </c>
      <c r="C31" s="2">
        <v>46166</v>
      </c>
      <c r="D31" s="7">
        <v>0.43958333333333338</v>
      </c>
      <c r="E31" s="1">
        <v>313</v>
      </c>
      <c r="F31" s="1">
        <v>160</v>
      </c>
    </row>
    <row r="32" spans="1:6" x14ac:dyDescent="0.25">
      <c r="A32" s="1">
        <v>1</v>
      </c>
      <c r="B32" s="1">
        <v>31</v>
      </c>
      <c r="C32" s="2">
        <v>46166</v>
      </c>
      <c r="D32" s="7">
        <v>0.57430555555555551</v>
      </c>
      <c r="E32" s="1">
        <v>769</v>
      </c>
      <c r="F32" s="1">
        <v>429</v>
      </c>
    </row>
    <row r="33" spans="1:6" x14ac:dyDescent="0.25">
      <c r="A33" s="1">
        <v>1</v>
      </c>
      <c r="B33" s="1">
        <v>32</v>
      </c>
      <c r="C33" s="2">
        <v>46166</v>
      </c>
      <c r="D33" s="7">
        <v>0.74513888888888891</v>
      </c>
      <c r="E33" s="1">
        <v>1128</v>
      </c>
      <c r="F33" s="1">
        <v>650</v>
      </c>
    </row>
    <row r="34" spans="1:6" x14ac:dyDescent="0.25">
      <c r="A34" s="1">
        <v>1</v>
      </c>
      <c r="B34" s="1">
        <v>33</v>
      </c>
      <c r="C34" s="2">
        <v>46166</v>
      </c>
      <c r="D34" s="7">
        <v>0.94652777777777775</v>
      </c>
      <c r="E34" s="1">
        <v>1510</v>
      </c>
      <c r="F34" s="1">
        <v>915</v>
      </c>
    </row>
    <row r="35" spans="1:6" x14ac:dyDescent="0.25">
      <c r="A35" s="1">
        <v>1</v>
      </c>
      <c r="B35" s="1">
        <v>34</v>
      </c>
      <c r="C35" s="2">
        <v>46167</v>
      </c>
      <c r="D35" s="7">
        <v>0.56319444444444444</v>
      </c>
      <c r="E35" s="1">
        <v>643</v>
      </c>
      <c r="F35" s="1">
        <v>337</v>
      </c>
    </row>
    <row r="36" spans="1:6" x14ac:dyDescent="0.25">
      <c r="A36" s="1">
        <v>1</v>
      </c>
      <c r="B36" s="1">
        <v>35</v>
      </c>
      <c r="C36" s="2">
        <v>46168</v>
      </c>
      <c r="D36" s="7">
        <v>1.3888888888888889E-3</v>
      </c>
      <c r="E36" s="1">
        <v>1376</v>
      </c>
      <c r="F36" s="1">
        <v>807</v>
      </c>
    </row>
    <row r="37" spans="1:6" x14ac:dyDescent="0.25">
      <c r="A37" s="1">
        <v>1</v>
      </c>
      <c r="B37" s="1">
        <v>36</v>
      </c>
      <c r="C37" s="6">
        <v>46168</v>
      </c>
      <c r="D37" s="7">
        <v>0.4368055555555555</v>
      </c>
      <c r="E37" s="1">
        <v>304</v>
      </c>
      <c r="F37" s="1">
        <v>163</v>
      </c>
    </row>
    <row r="38" spans="1:6" x14ac:dyDescent="0.25">
      <c r="A38" s="1">
        <v>1</v>
      </c>
      <c r="B38" s="1">
        <v>37</v>
      </c>
      <c r="C38" s="6">
        <v>46168</v>
      </c>
      <c r="D38" s="7">
        <v>0.67986111111111114</v>
      </c>
      <c r="E38" s="1">
        <v>781</v>
      </c>
      <c r="F38" s="1">
        <v>437</v>
      </c>
    </row>
    <row r="39" spans="1:6" x14ac:dyDescent="0.25">
      <c r="A39" s="1">
        <v>1</v>
      </c>
      <c r="B39" s="1">
        <v>38</v>
      </c>
      <c r="C39" s="6">
        <v>46168</v>
      </c>
      <c r="D39" s="7">
        <v>0.99444444444444446</v>
      </c>
      <c r="E39" s="1">
        <v>1414</v>
      </c>
      <c r="F39" s="1">
        <v>846</v>
      </c>
    </row>
    <row r="40" spans="1:6" x14ac:dyDescent="0.25">
      <c r="A40" s="1">
        <v>1</v>
      </c>
      <c r="B40" s="1">
        <v>39</v>
      </c>
      <c r="C40" s="6">
        <v>46169</v>
      </c>
      <c r="D40" s="7">
        <v>0.39444444444444443</v>
      </c>
      <c r="E40" s="1">
        <v>206</v>
      </c>
      <c r="F40" s="1">
        <v>115</v>
      </c>
    </row>
    <row r="41" spans="1:6" x14ac:dyDescent="0.25">
      <c r="A41" s="1">
        <v>1</v>
      </c>
      <c r="B41" s="1">
        <v>40</v>
      </c>
      <c r="C41" s="6">
        <v>46169</v>
      </c>
      <c r="D41" s="7">
        <v>0.7993055555555556</v>
      </c>
      <c r="E41" s="1">
        <v>1072</v>
      </c>
      <c r="F41" s="1">
        <v>647</v>
      </c>
    </row>
    <row r="42" spans="1:6" x14ac:dyDescent="0.25">
      <c r="A42" s="1">
        <v>1</v>
      </c>
      <c r="B42" s="1">
        <v>41</v>
      </c>
      <c r="C42" s="6">
        <v>46169</v>
      </c>
      <c r="D42" s="7">
        <v>0.91875000000000007</v>
      </c>
      <c r="E42" s="1">
        <v>1432</v>
      </c>
      <c r="F42" s="1">
        <v>882</v>
      </c>
    </row>
    <row r="43" spans="1:6" x14ac:dyDescent="0.25">
      <c r="A43" s="1">
        <v>1</v>
      </c>
      <c r="B43" s="1">
        <v>42</v>
      </c>
      <c r="C43" s="6">
        <v>46170</v>
      </c>
      <c r="D43" s="7">
        <v>0.44444444444444442</v>
      </c>
      <c r="E43" s="1">
        <v>343</v>
      </c>
      <c r="F43" s="1">
        <v>195</v>
      </c>
    </row>
    <row r="44" spans="1:6" x14ac:dyDescent="0.25">
      <c r="A44" s="1">
        <v>1</v>
      </c>
      <c r="B44" s="1">
        <v>43</v>
      </c>
      <c r="C44" s="6">
        <v>46170</v>
      </c>
      <c r="D44" s="7">
        <v>0.72152777777777777</v>
      </c>
      <c r="E44" s="1">
        <v>845</v>
      </c>
      <c r="F44" s="1">
        <v>494</v>
      </c>
    </row>
    <row r="45" spans="1:6" x14ac:dyDescent="0.25">
      <c r="A45" s="1">
        <v>1</v>
      </c>
      <c r="B45" s="1">
        <v>44</v>
      </c>
      <c r="C45" s="6">
        <v>46171</v>
      </c>
      <c r="D45" s="7">
        <v>2.4305555555555556E-2</v>
      </c>
      <c r="E45" s="1">
        <v>1220</v>
      </c>
      <c r="F45" s="1">
        <v>736</v>
      </c>
    </row>
    <row r="46" spans="1:6" x14ac:dyDescent="0.25">
      <c r="A46" s="1">
        <v>1</v>
      </c>
      <c r="B46" s="1">
        <v>45</v>
      </c>
      <c r="C46" s="6">
        <v>46171</v>
      </c>
      <c r="D46" s="7">
        <v>0.8208333333333333</v>
      </c>
      <c r="E46" s="1">
        <v>1096</v>
      </c>
      <c r="F46" s="1">
        <v>637</v>
      </c>
    </row>
    <row r="47" spans="1:6" x14ac:dyDescent="0.25">
      <c r="A47" s="1">
        <v>1</v>
      </c>
      <c r="B47" s="1">
        <v>46</v>
      </c>
      <c r="C47" s="6">
        <v>46172</v>
      </c>
      <c r="D47" s="7">
        <v>0.1388888888888889</v>
      </c>
      <c r="E47" s="1">
        <v>640</v>
      </c>
      <c r="F47" s="1">
        <v>365</v>
      </c>
    </row>
    <row r="48" spans="1:6" x14ac:dyDescent="0.25">
      <c r="A48" s="1">
        <v>1</v>
      </c>
      <c r="B48" s="1">
        <v>47</v>
      </c>
      <c r="C48" s="6">
        <v>46172</v>
      </c>
      <c r="D48" s="7">
        <v>0.52986111111111112</v>
      </c>
      <c r="E48" s="1">
        <v>590</v>
      </c>
      <c r="F48" s="1">
        <v>319</v>
      </c>
    </row>
    <row r="49" spans="1:6" x14ac:dyDescent="0.25">
      <c r="A49" s="1">
        <v>1</v>
      </c>
      <c r="B49" s="1">
        <v>48</v>
      </c>
      <c r="C49" s="6">
        <v>46173</v>
      </c>
      <c r="D49" s="7">
        <v>7.4305555555555555E-2</v>
      </c>
      <c r="E49" s="1">
        <v>1158</v>
      </c>
      <c r="F49" s="1">
        <v>691</v>
      </c>
    </row>
    <row r="50" spans="1:6" x14ac:dyDescent="0.25">
      <c r="A50" s="1">
        <v>1</v>
      </c>
      <c r="B50" s="1">
        <v>49</v>
      </c>
      <c r="C50" s="6">
        <v>46173</v>
      </c>
      <c r="D50" s="7">
        <v>0.61041666666666672</v>
      </c>
      <c r="E50" s="1">
        <v>826</v>
      </c>
      <c r="F50" s="1">
        <v>451</v>
      </c>
    </row>
    <row r="51" spans="1:6" x14ac:dyDescent="0.25">
      <c r="A51" s="1">
        <v>1</v>
      </c>
      <c r="B51" s="1">
        <v>50</v>
      </c>
      <c r="C51" s="6">
        <v>46173</v>
      </c>
      <c r="D51" s="7">
        <v>0.85972222222222217</v>
      </c>
      <c r="E51" s="1">
        <v>1524</v>
      </c>
      <c r="F51" s="1">
        <v>906</v>
      </c>
    </row>
    <row r="52" spans="1:6" x14ac:dyDescent="0.25">
      <c r="A52" s="1">
        <v>1</v>
      </c>
      <c r="B52" s="1">
        <v>51</v>
      </c>
      <c r="C52" s="6">
        <v>46174</v>
      </c>
      <c r="D52" s="7">
        <v>6.0416666666666667E-2</v>
      </c>
      <c r="E52" s="1">
        <v>862</v>
      </c>
      <c r="F52" s="1">
        <v>479</v>
      </c>
    </row>
    <row r="53" spans="1:6" x14ac:dyDescent="0.25">
      <c r="A53" s="1">
        <v>1</v>
      </c>
      <c r="B53" s="1">
        <v>52</v>
      </c>
      <c r="C53" s="6">
        <v>46174</v>
      </c>
      <c r="D53" s="7">
        <v>0.42708333333333331</v>
      </c>
      <c r="E53" s="1">
        <v>281</v>
      </c>
      <c r="F53" s="1">
        <v>153</v>
      </c>
    </row>
    <row r="54" spans="1:6" x14ac:dyDescent="0.25">
      <c r="A54" s="1">
        <v>1</v>
      </c>
      <c r="B54" s="1">
        <v>53</v>
      </c>
      <c r="C54" s="6">
        <v>46174</v>
      </c>
      <c r="D54" s="7">
        <v>0.73125000000000007</v>
      </c>
      <c r="E54" s="1">
        <v>861</v>
      </c>
      <c r="F54" s="1">
        <v>468</v>
      </c>
    </row>
    <row r="55" spans="1:6" x14ac:dyDescent="0.25">
      <c r="A55" s="1">
        <v>1</v>
      </c>
      <c r="B55" s="1">
        <v>54</v>
      </c>
      <c r="C55" s="6">
        <v>46175</v>
      </c>
      <c r="D55" s="7">
        <v>9.930555555555555E-2</v>
      </c>
      <c r="E55" s="1">
        <v>672</v>
      </c>
      <c r="F55" s="1">
        <v>385</v>
      </c>
    </row>
    <row r="56" spans="1:6" x14ac:dyDescent="0.25">
      <c r="A56" s="1">
        <v>1</v>
      </c>
      <c r="B56" s="1">
        <v>55</v>
      </c>
      <c r="C56" s="6">
        <v>46175</v>
      </c>
      <c r="D56" s="7">
        <v>0.4993055555555555</v>
      </c>
      <c r="E56" s="1">
        <v>441</v>
      </c>
      <c r="F56" s="1">
        <v>256</v>
      </c>
    </row>
    <row r="57" spans="1:6" x14ac:dyDescent="0.25">
      <c r="A57" s="1">
        <v>1</v>
      </c>
      <c r="B57" s="1">
        <v>56</v>
      </c>
      <c r="C57" s="6">
        <v>46175</v>
      </c>
      <c r="D57" s="7">
        <v>0.92569444444444438</v>
      </c>
      <c r="E57" s="1">
        <v>1317</v>
      </c>
      <c r="F57" s="1">
        <v>812</v>
      </c>
    </row>
    <row r="58" spans="1:6" x14ac:dyDescent="0.25">
      <c r="A58" s="1">
        <v>1</v>
      </c>
      <c r="B58" s="1">
        <v>57</v>
      </c>
      <c r="C58" s="6">
        <v>46176</v>
      </c>
      <c r="D58" s="7">
        <v>0.51180555555555551</v>
      </c>
      <c r="E58" s="1">
        <v>456</v>
      </c>
      <c r="F58" s="1">
        <v>254</v>
      </c>
    </row>
    <row r="59" spans="1:6" x14ac:dyDescent="0.25">
      <c r="A59" s="1">
        <v>1</v>
      </c>
      <c r="B59" s="1">
        <v>58</v>
      </c>
      <c r="C59" s="6">
        <v>46176</v>
      </c>
      <c r="D59" s="7">
        <v>0.9159722222222223</v>
      </c>
      <c r="E59" s="1">
        <v>1203</v>
      </c>
      <c r="F59" s="1">
        <v>781</v>
      </c>
    </row>
    <row r="60" spans="1:6" x14ac:dyDescent="0.25">
      <c r="A60" s="1">
        <v>1</v>
      </c>
      <c r="B60" s="1">
        <v>59</v>
      </c>
      <c r="C60" s="6">
        <v>46177</v>
      </c>
      <c r="D60" s="7">
        <v>0.35347222222222219</v>
      </c>
      <c r="E60" s="1">
        <v>135</v>
      </c>
      <c r="F60" s="1">
        <v>80</v>
      </c>
    </row>
    <row r="61" spans="1:6" x14ac:dyDescent="0.25">
      <c r="A61" s="1">
        <v>1</v>
      </c>
      <c r="B61" s="1">
        <v>60</v>
      </c>
      <c r="C61" s="6">
        <v>46177</v>
      </c>
      <c r="D61" s="7">
        <v>0.70277777777777783</v>
      </c>
      <c r="E61" s="1">
        <v>762</v>
      </c>
      <c r="F61" s="1">
        <v>433</v>
      </c>
    </row>
    <row r="62" spans="1:6" x14ac:dyDescent="0.25">
      <c r="A62" s="1">
        <v>1</v>
      </c>
      <c r="B62" s="1">
        <v>61</v>
      </c>
      <c r="C62" s="6">
        <v>46178</v>
      </c>
      <c r="D62" s="7">
        <v>0.14791666666666667</v>
      </c>
      <c r="E62" s="1">
        <v>396</v>
      </c>
      <c r="F62" s="1">
        <v>198</v>
      </c>
    </row>
    <row r="63" spans="1:6" x14ac:dyDescent="0.25">
      <c r="A63" s="1">
        <v>1</v>
      </c>
      <c r="B63" s="1">
        <v>62</v>
      </c>
      <c r="C63" s="6">
        <v>46178</v>
      </c>
      <c r="D63" s="7">
        <v>0.48333333333333334</v>
      </c>
      <c r="E63" s="1">
        <v>419</v>
      </c>
      <c r="F63" s="1">
        <v>219</v>
      </c>
    </row>
    <row r="64" spans="1:6" x14ac:dyDescent="0.25">
      <c r="A64" s="1">
        <v>1</v>
      </c>
      <c r="B64" s="1">
        <v>63</v>
      </c>
      <c r="C64" s="6">
        <v>46179</v>
      </c>
      <c r="D64" s="7">
        <v>0.64374999999999993</v>
      </c>
      <c r="E64" s="1">
        <v>768</v>
      </c>
      <c r="F64" s="1">
        <v>438</v>
      </c>
    </row>
    <row r="65" spans="1:6" x14ac:dyDescent="0.25">
      <c r="A65" s="1">
        <v>1</v>
      </c>
      <c r="B65" s="1">
        <v>64</v>
      </c>
      <c r="C65" s="6">
        <v>46180</v>
      </c>
      <c r="D65" s="7">
        <v>0.49722222222222223</v>
      </c>
      <c r="E65" s="1">
        <v>464</v>
      </c>
      <c r="F65" s="1">
        <v>275</v>
      </c>
    </row>
    <row r="66" spans="1:6" x14ac:dyDescent="0.25">
      <c r="A66" s="1">
        <v>1</v>
      </c>
      <c r="B66" s="1">
        <v>65</v>
      </c>
      <c r="C66" s="6">
        <v>46180</v>
      </c>
      <c r="D66" s="7">
        <v>0.95416666666666661</v>
      </c>
      <c r="E66" s="1">
        <v>1394</v>
      </c>
      <c r="F66" s="1">
        <v>895</v>
      </c>
    </row>
    <row r="67" spans="1:6" x14ac:dyDescent="0.25">
      <c r="A67" s="1">
        <v>1</v>
      </c>
      <c r="B67" s="1">
        <v>66</v>
      </c>
      <c r="C67" s="6">
        <v>46181</v>
      </c>
      <c r="D67" s="7">
        <v>0.5180555555555556</v>
      </c>
      <c r="E67" s="1">
        <v>471</v>
      </c>
      <c r="F67" s="1">
        <v>267</v>
      </c>
    </row>
    <row r="68" spans="1:6" x14ac:dyDescent="0.25">
      <c r="A68" s="1">
        <v>0</v>
      </c>
      <c r="B68" s="1">
        <v>67</v>
      </c>
      <c r="C68" s="6">
        <v>46181</v>
      </c>
      <c r="D68" s="7">
        <v>0.90486111111111101</v>
      </c>
      <c r="E68" s="1">
        <v>1333</v>
      </c>
      <c r="F68" s="1">
        <v>846</v>
      </c>
    </row>
    <row r="69" spans="1:6" x14ac:dyDescent="0.25">
      <c r="A69" s="1">
        <v>0</v>
      </c>
      <c r="B69" s="1">
        <v>68</v>
      </c>
      <c r="C69" s="6">
        <v>46182</v>
      </c>
      <c r="D69" s="7">
        <v>0.39930555555555558</v>
      </c>
      <c r="E69" s="1">
        <v>195</v>
      </c>
      <c r="F69" s="1">
        <v>117</v>
      </c>
    </row>
    <row r="70" spans="1:6" x14ac:dyDescent="0.25">
      <c r="A70" s="1">
        <v>0</v>
      </c>
      <c r="B70" s="1">
        <v>69</v>
      </c>
      <c r="C70" s="6">
        <v>46182</v>
      </c>
      <c r="D70" s="7">
        <v>0.8256944444444444</v>
      </c>
      <c r="E70" s="1">
        <v>1042</v>
      </c>
      <c r="F70" s="1">
        <v>647</v>
      </c>
    </row>
    <row r="71" spans="1:6" x14ac:dyDescent="0.25">
      <c r="A71" s="1">
        <v>0</v>
      </c>
      <c r="B71" s="1">
        <v>70</v>
      </c>
      <c r="C71" s="6">
        <v>46183</v>
      </c>
      <c r="D71" s="7">
        <v>0.43124999999999997</v>
      </c>
      <c r="E71" s="1">
        <v>260</v>
      </c>
      <c r="F71" s="1">
        <v>157</v>
      </c>
    </row>
    <row r="72" spans="1:6" x14ac:dyDescent="0.25">
      <c r="A72" s="1">
        <v>0</v>
      </c>
      <c r="B72" s="1">
        <v>71</v>
      </c>
      <c r="C72" s="6">
        <v>46183</v>
      </c>
      <c r="D72" s="7">
        <v>0.68958333333333333</v>
      </c>
      <c r="E72" s="1">
        <v>677</v>
      </c>
      <c r="F72" s="1">
        <v>405</v>
      </c>
    </row>
    <row r="73" spans="1:6" x14ac:dyDescent="0.25">
      <c r="A73" s="1">
        <v>0</v>
      </c>
      <c r="B73" s="1">
        <v>72</v>
      </c>
      <c r="C73" s="6">
        <v>46183</v>
      </c>
      <c r="D73" s="7">
        <v>0.9604166666666667</v>
      </c>
      <c r="E73" s="1">
        <v>1341</v>
      </c>
      <c r="F73" s="1">
        <v>866</v>
      </c>
    </row>
    <row r="74" spans="1:6" x14ac:dyDescent="0.25">
      <c r="A74" s="1">
        <v>0</v>
      </c>
      <c r="B74" s="1">
        <v>73</v>
      </c>
      <c r="C74" s="6">
        <v>46184</v>
      </c>
      <c r="D74" s="7">
        <v>0.29166666666666669</v>
      </c>
      <c r="E74" s="1">
        <v>86</v>
      </c>
      <c r="F74" s="1">
        <v>47</v>
      </c>
    </row>
    <row r="75" spans="1:6" x14ac:dyDescent="0.25">
      <c r="A75" s="1">
        <v>0</v>
      </c>
      <c r="B75" s="1">
        <v>74</v>
      </c>
      <c r="C75" s="6">
        <v>46184</v>
      </c>
      <c r="D75" s="7">
        <v>0.83333333333333337</v>
      </c>
      <c r="E75" s="1">
        <v>990</v>
      </c>
      <c r="F75" s="1">
        <v>593</v>
      </c>
    </row>
    <row r="76" spans="1:6" x14ac:dyDescent="0.25">
      <c r="A76" s="1">
        <v>0</v>
      </c>
      <c r="B76" s="1">
        <v>75</v>
      </c>
      <c r="C76" s="6">
        <v>46185</v>
      </c>
      <c r="D76" s="7">
        <v>0.3743055555555555</v>
      </c>
      <c r="E76" s="1">
        <v>135</v>
      </c>
      <c r="F76" s="1">
        <v>93</v>
      </c>
    </row>
    <row r="77" spans="1:6" x14ac:dyDescent="0.25">
      <c r="A77" s="1">
        <v>0</v>
      </c>
      <c r="B77" s="1">
        <v>76</v>
      </c>
      <c r="C77" s="6">
        <v>46185</v>
      </c>
      <c r="D77" s="7">
        <v>0.70347222222222217</v>
      </c>
      <c r="E77" s="1">
        <v>618</v>
      </c>
      <c r="F77" s="1">
        <v>382</v>
      </c>
    </row>
    <row r="78" spans="1:6" x14ac:dyDescent="0.25">
      <c r="A78" s="1">
        <v>0</v>
      </c>
      <c r="B78" s="1">
        <v>77</v>
      </c>
      <c r="C78" s="6">
        <v>46186</v>
      </c>
      <c r="D78" s="7">
        <v>0.13055555555555556</v>
      </c>
      <c r="E78" s="1">
        <v>655</v>
      </c>
      <c r="F78" s="1">
        <v>417</v>
      </c>
    </row>
    <row r="79" spans="1:6" x14ac:dyDescent="0.25">
      <c r="A79" s="1">
        <v>0</v>
      </c>
      <c r="B79" s="1">
        <v>78</v>
      </c>
      <c r="C79" s="6">
        <v>46186</v>
      </c>
      <c r="D79" s="7">
        <v>0.56180555555555556</v>
      </c>
      <c r="E79" s="1">
        <v>530</v>
      </c>
      <c r="F79" s="1">
        <v>323</v>
      </c>
    </row>
    <row r="80" spans="1:6" x14ac:dyDescent="0.25">
      <c r="A80" s="1">
        <v>0</v>
      </c>
      <c r="B80" s="1">
        <v>79</v>
      </c>
      <c r="C80" s="6">
        <v>46186</v>
      </c>
      <c r="D80" s="7">
        <v>0.92847222222222225</v>
      </c>
      <c r="E80" s="1">
        <v>1191</v>
      </c>
      <c r="F80" s="1">
        <v>809</v>
      </c>
    </row>
    <row r="81" spans="1:6" x14ac:dyDescent="0.25">
      <c r="A81" s="1">
        <v>0</v>
      </c>
      <c r="B81" s="1">
        <v>80</v>
      </c>
      <c r="C81" s="6">
        <v>46187</v>
      </c>
      <c r="D81" s="7">
        <v>0.50694444444444442</v>
      </c>
      <c r="E81" s="1">
        <v>471</v>
      </c>
      <c r="F81" s="1">
        <v>272</v>
      </c>
    </row>
    <row r="82" spans="1:6" x14ac:dyDescent="0.25">
      <c r="A82" s="1">
        <v>0</v>
      </c>
      <c r="B82" s="1">
        <v>81</v>
      </c>
      <c r="C82" s="6">
        <v>46187</v>
      </c>
      <c r="D82" s="7">
        <v>0.87083333333333324</v>
      </c>
      <c r="E82" s="1">
        <v>1234</v>
      </c>
      <c r="F82" s="1">
        <v>775</v>
      </c>
    </row>
    <row r="83" spans="1:6" x14ac:dyDescent="0.25">
      <c r="A83" s="1">
        <v>0</v>
      </c>
      <c r="B83" s="1">
        <v>82</v>
      </c>
      <c r="C83" s="6">
        <v>46188</v>
      </c>
      <c r="D83" s="7">
        <v>0.46319444444444446</v>
      </c>
      <c r="E83" s="1">
        <v>309</v>
      </c>
      <c r="F83" s="1">
        <v>190</v>
      </c>
    </row>
    <row r="84" spans="1:6" x14ac:dyDescent="0.25">
      <c r="A84" s="1">
        <v>0</v>
      </c>
      <c r="B84" s="1">
        <v>83</v>
      </c>
      <c r="C84" s="6">
        <v>46188</v>
      </c>
      <c r="D84" s="7">
        <v>0.79236111111111107</v>
      </c>
      <c r="E84" s="1">
        <v>984</v>
      </c>
      <c r="F84" s="1">
        <v>597</v>
      </c>
    </row>
    <row r="85" spans="1:6" x14ac:dyDescent="0.25">
      <c r="A85" s="1">
        <v>0</v>
      </c>
      <c r="B85" s="1">
        <v>84</v>
      </c>
      <c r="C85" s="6">
        <v>46189</v>
      </c>
      <c r="D85" s="7">
        <v>2.1527777777777781E-2</v>
      </c>
      <c r="E85" s="1">
        <v>976</v>
      </c>
      <c r="F85" s="1">
        <v>597</v>
      </c>
    </row>
    <row r="86" spans="1:6" x14ac:dyDescent="0.25">
      <c r="A86" s="1">
        <v>0</v>
      </c>
      <c r="B86" s="1">
        <v>85</v>
      </c>
      <c r="C86" s="6">
        <v>46189</v>
      </c>
      <c r="D86" s="7">
        <v>0.41319444444444442</v>
      </c>
      <c r="E86" s="1">
        <v>212</v>
      </c>
      <c r="F86" s="1">
        <v>134</v>
      </c>
    </row>
    <row r="87" spans="1:6" x14ac:dyDescent="0.25">
      <c r="A87" s="1">
        <v>0</v>
      </c>
      <c r="B87" s="1">
        <v>86</v>
      </c>
      <c r="C87" s="6">
        <v>46189</v>
      </c>
      <c r="D87" s="7">
        <v>0.72013888888888899</v>
      </c>
      <c r="E87" s="1">
        <v>629</v>
      </c>
      <c r="F87" s="1">
        <v>377</v>
      </c>
    </row>
    <row r="88" spans="1:6" x14ac:dyDescent="0.25">
      <c r="A88" s="1">
        <v>0</v>
      </c>
      <c r="B88" s="1">
        <v>87</v>
      </c>
      <c r="C88" s="6">
        <v>46189</v>
      </c>
      <c r="D88" s="7">
        <v>0.92152777777777783</v>
      </c>
      <c r="E88" s="1">
        <v>826</v>
      </c>
      <c r="F88" s="1">
        <v>513</v>
      </c>
    </row>
    <row r="89" spans="1:6" x14ac:dyDescent="0.25">
      <c r="A89" s="1">
        <v>0</v>
      </c>
      <c r="B89" s="1">
        <v>88</v>
      </c>
      <c r="C89" s="6">
        <v>46189</v>
      </c>
      <c r="D89" s="7">
        <v>0.94305555555555554</v>
      </c>
      <c r="E89" s="1">
        <v>778</v>
      </c>
      <c r="F89" s="1">
        <v>486</v>
      </c>
    </row>
    <row r="90" spans="1:6" x14ac:dyDescent="0.25">
      <c r="A90" s="1">
        <v>0</v>
      </c>
      <c r="B90" s="1">
        <v>89</v>
      </c>
      <c r="C90" s="6">
        <v>46189</v>
      </c>
      <c r="D90" s="7">
        <v>0.96805555555555556</v>
      </c>
      <c r="E90" s="1">
        <v>839</v>
      </c>
      <c r="F90" s="1">
        <v>515</v>
      </c>
    </row>
    <row r="91" spans="1:6" x14ac:dyDescent="0.25">
      <c r="A91" s="1">
        <v>0</v>
      </c>
      <c r="B91" s="1">
        <v>90</v>
      </c>
      <c r="C91" s="6">
        <v>46190</v>
      </c>
      <c r="D91" s="7">
        <v>1.8055555555555557E-2</v>
      </c>
      <c r="E91" s="1">
        <v>889</v>
      </c>
      <c r="F91" s="1">
        <v>546</v>
      </c>
    </row>
    <row r="92" spans="1:6" x14ac:dyDescent="0.25">
      <c r="A92" s="1">
        <v>0</v>
      </c>
      <c r="B92" s="1">
        <v>91</v>
      </c>
      <c r="C92" s="6">
        <v>46190</v>
      </c>
      <c r="D92" s="7">
        <v>0.50624999999999998</v>
      </c>
      <c r="E92" s="1">
        <v>381</v>
      </c>
      <c r="F92" s="1">
        <v>233</v>
      </c>
    </row>
    <row r="93" spans="1:6" x14ac:dyDescent="0.25">
      <c r="A93" s="1">
        <v>0</v>
      </c>
      <c r="B93" s="1">
        <v>92</v>
      </c>
      <c r="C93" s="6">
        <v>46190</v>
      </c>
      <c r="D93" s="7">
        <v>0.81180555555555556</v>
      </c>
      <c r="E93" s="1">
        <v>817</v>
      </c>
      <c r="F93" s="1">
        <v>523</v>
      </c>
    </row>
    <row r="94" spans="1:6" x14ac:dyDescent="0.25">
      <c r="A94" s="1">
        <v>0</v>
      </c>
      <c r="B94" s="1">
        <v>93</v>
      </c>
      <c r="C94" s="6">
        <v>46190</v>
      </c>
      <c r="D94" s="7">
        <v>0.95347222222222217</v>
      </c>
      <c r="E94" s="1">
        <v>1210</v>
      </c>
      <c r="F94" s="1">
        <v>807</v>
      </c>
    </row>
    <row r="95" spans="1:6" x14ac:dyDescent="0.25">
      <c r="A95" s="1">
        <v>0</v>
      </c>
      <c r="B95" s="1">
        <v>94</v>
      </c>
      <c r="C95" s="6">
        <v>46191</v>
      </c>
      <c r="D95" s="7">
        <v>0.48958333333333331</v>
      </c>
      <c r="E95" s="1">
        <v>397</v>
      </c>
      <c r="F95" s="1">
        <v>256</v>
      </c>
    </row>
    <row r="96" spans="1:6" x14ac:dyDescent="0.25">
      <c r="B96" s="1"/>
      <c r="C96" s="1"/>
      <c r="D96" s="1"/>
    </row>
    <row r="97" spans="2:4" x14ac:dyDescent="0.25">
      <c r="B97" s="1"/>
      <c r="C97" s="1"/>
      <c r="D97" s="1"/>
    </row>
    <row r="98" spans="2:4" x14ac:dyDescent="0.25">
      <c r="B98" s="1"/>
      <c r="C98" s="1"/>
      <c r="D98" s="1"/>
    </row>
    <row r="99" spans="2:4" x14ac:dyDescent="0.25">
      <c r="B99" s="1"/>
      <c r="C99" s="1"/>
      <c r="D99" s="1"/>
    </row>
    <row r="100" spans="2:4" x14ac:dyDescent="0.25">
      <c r="B100" s="1"/>
      <c r="C100" s="1"/>
      <c r="D100" s="1"/>
    </row>
    <row r="101" spans="2:4" x14ac:dyDescent="0.25">
      <c r="B101" s="1"/>
      <c r="C101" s="1"/>
      <c r="D101" s="1"/>
    </row>
    <row r="102" spans="2:4" x14ac:dyDescent="0.25">
      <c r="B102" s="1"/>
      <c r="C102" s="1"/>
      <c r="D102" s="1"/>
    </row>
    <row r="103" spans="2:4" x14ac:dyDescent="0.25">
      <c r="B103" s="1"/>
      <c r="C103" s="1"/>
      <c r="D103" s="1"/>
    </row>
    <row r="104" spans="2:4" x14ac:dyDescent="0.25">
      <c r="B104" s="1"/>
      <c r="C104" s="1"/>
      <c r="D104" s="1"/>
    </row>
    <row r="105" spans="2:4" x14ac:dyDescent="0.25">
      <c r="B105" s="1"/>
      <c r="C105" s="1"/>
      <c r="D105" s="1"/>
    </row>
    <row r="106" spans="2:4" x14ac:dyDescent="0.25">
      <c r="B106" s="1"/>
      <c r="C106" s="1"/>
      <c r="D106" s="1"/>
    </row>
    <row r="107" spans="2:4" x14ac:dyDescent="0.25">
      <c r="B107" s="1"/>
      <c r="C107" s="1"/>
      <c r="D107" s="1"/>
    </row>
    <row r="108" spans="2:4" x14ac:dyDescent="0.25">
      <c r="B108" s="1"/>
      <c r="C108" s="1"/>
      <c r="D108" s="1"/>
    </row>
    <row r="109" spans="2:4" x14ac:dyDescent="0.25">
      <c r="B109" s="1"/>
      <c r="C109" s="1"/>
      <c r="D109" s="1"/>
    </row>
    <row r="110" spans="2:4" x14ac:dyDescent="0.25">
      <c r="B110" s="1"/>
      <c r="C110" s="1"/>
      <c r="D110" s="1"/>
    </row>
    <row r="111" spans="2:4" x14ac:dyDescent="0.25">
      <c r="B111" s="1"/>
      <c r="C111" s="1"/>
      <c r="D111" s="1"/>
    </row>
    <row r="112" spans="2:4" x14ac:dyDescent="0.25">
      <c r="B112" s="1"/>
      <c r="C112" s="1"/>
      <c r="D112" s="1"/>
    </row>
    <row r="113" spans="2:4" x14ac:dyDescent="0.25">
      <c r="B113" s="1"/>
      <c r="C113" s="1"/>
      <c r="D113" s="1"/>
    </row>
    <row r="114" spans="2:4" x14ac:dyDescent="0.25">
      <c r="B114" s="1"/>
      <c r="C114" s="1"/>
      <c r="D114" s="1"/>
    </row>
    <row r="115" spans="2:4" x14ac:dyDescent="0.25">
      <c r="B115" s="1"/>
      <c r="C115" s="1"/>
      <c r="D115" s="1"/>
    </row>
    <row r="116" spans="2:4" x14ac:dyDescent="0.25">
      <c r="B116" s="1"/>
      <c r="C116" s="1"/>
      <c r="D116" s="1"/>
    </row>
    <row r="117" spans="2:4" x14ac:dyDescent="0.25">
      <c r="B117" s="1"/>
      <c r="C117" s="1"/>
      <c r="D117" s="1"/>
    </row>
    <row r="118" spans="2:4" x14ac:dyDescent="0.25">
      <c r="B118" s="1"/>
      <c r="C118" s="1"/>
      <c r="D118" s="1"/>
    </row>
    <row r="119" spans="2:4" x14ac:dyDescent="0.25">
      <c r="B119" s="1"/>
      <c r="C119" s="1"/>
      <c r="D119" s="1"/>
    </row>
    <row r="120" spans="2:4" x14ac:dyDescent="0.25">
      <c r="B120" s="1"/>
      <c r="C120" s="1"/>
      <c r="D120" s="1"/>
    </row>
    <row r="121" spans="2:4" x14ac:dyDescent="0.25">
      <c r="B121" s="1"/>
      <c r="C121" s="1"/>
      <c r="D121" s="1"/>
    </row>
    <row r="122" spans="2:4" x14ac:dyDescent="0.25">
      <c r="B122" s="1"/>
      <c r="C122" s="1"/>
      <c r="D122" s="1"/>
    </row>
    <row r="123" spans="2:4" x14ac:dyDescent="0.25">
      <c r="B123" s="1"/>
      <c r="C123" s="1"/>
      <c r="D123" s="1"/>
    </row>
    <row r="124" spans="2:4" x14ac:dyDescent="0.25">
      <c r="B124" s="1"/>
      <c r="C124" s="1"/>
      <c r="D124" s="1"/>
    </row>
    <row r="125" spans="2:4" x14ac:dyDescent="0.25">
      <c r="B125" s="1"/>
      <c r="C125" s="1"/>
      <c r="D125" s="1"/>
    </row>
    <row r="126" spans="2:4" x14ac:dyDescent="0.25">
      <c r="B126" s="1"/>
      <c r="C126" s="1"/>
      <c r="D126" s="1"/>
    </row>
    <row r="127" spans="2:4" x14ac:dyDescent="0.25">
      <c r="B127" s="1"/>
      <c r="C127" s="1"/>
      <c r="D127" s="1"/>
    </row>
    <row r="128" spans="2:4" x14ac:dyDescent="0.25">
      <c r="B128" s="1"/>
      <c r="C128" s="1"/>
      <c r="D128" s="1"/>
    </row>
    <row r="129" spans="2:4" x14ac:dyDescent="0.25">
      <c r="B129" s="1"/>
      <c r="C129" s="1"/>
      <c r="D129" s="1"/>
    </row>
    <row r="130" spans="2:4" x14ac:dyDescent="0.25">
      <c r="B130" s="1"/>
      <c r="C130" s="1"/>
      <c r="D130" s="1"/>
    </row>
    <row r="131" spans="2:4" x14ac:dyDescent="0.25">
      <c r="B131" s="1"/>
      <c r="C131" s="1"/>
      <c r="D131" s="1"/>
    </row>
    <row r="132" spans="2:4" x14ac:dyDescent="0.25">
      <c r="B132" s="1"/>
      <c r="C132" s="1"/>
      <c r="D132" s="1"/>
    </row>
    <row r="133" spans="2:4" x14ac:dyDescent="0.25">
      <c r="B133" s="1"/>
      <c r="C133" s="1"/>
      <c r="D133" s="1"/>
    </row>
    <row r="134" spans="2:4" x14ac:dyDescent="0.25">
      <c r="B134" s="1"/>
      <c r="C134" s="1"/>
      <c r="D134" s="1"/>
    </row>
    <row r="135" spans="2:4" x14ac:dyDescent="0.25">
      <c r="B135" s="1"/>
      <c r="C135" s="1"/>
      <c r="D135" s="1"/>
    </row>
    <row r="136" spans="2:4" x14ac:dyDescent="0.25">
      <c r="B136" s="1"/>
      <c r="C136" s="1"/>
      <c r="D136" s="1"/>
    </row>
    <row r="137" spans="2:4" x14ac:dyDescent="0.25">
      <c r="B137" s="1"/>
      <c r="C137" s="1"/>
      <c r="D137" s="1"/>
    </row>
    <row r="138" spans="2:4" x14ac:dyDescent="0.25">
      <c r="B138" s="1"/>
      <c r="C138" s="1"/>
      <c r="D138" s="1"/>
    </row>
    <row r="139" spans="2:4" x14ac:dyDescent="0.25">
      <c r="B139" s="1"/>
      <c r="C139" s="1"/>
      <c r="D139" s="1"/>
    </row>
    <row r="140" spans="2:4" x14ac:dyDescent="0.25">
      <c r="B140" s="1"/>
      <c r="C140" s="1"/>
      <c r="D140" s="1"/>
    </row>
    <row r="141" spans="2:4" x14ac:dyDescent="0.25">
      <c r="B141" s="1"/>
      <c r="C141" s="1"/>
      <c r="D141" s="1"/>
    </row>
    <row r="142" spans="2:4" x14ac:dyDescent="0.25">
      <c r="B142" s="1"/>
      <c r="C142" s="1"/>
      <c r="D142" s="1"/>
    </row>
    <row r="143" spans="2:4" x14ac:dyDescent="0.25">
      <c r="B143" s="1"/>
      <c r="C143" s="1"/>
      <c r="D143" s="1"/>
    </row>
    <row r="144" spans="2:4" x14ac:dyDescent="0.25">
      <c r="B144" s="1"/>
      <c r="C144" s="1"/>
      <c r="D144" s="1"/>
    </row>
    <row r="145" spans="2:5" x14ac:dyDescent="0.25">
      <c r="B145" s="1"/>
      <c r="C145" s="1"/>
      <c r="D145" s="1"/>
    </row>
    <row r="146" spans="2:5" x14ac:dyDescent="0.25">
      <c r="B146" s="1"/>
      <c r="C146" s="1"/>
      <c r="D146" s="1"/>
    </row>
    <row r="147" spans="2:5" x14ac:dyDescent="0.25">
      <c r="B147" s="1"/>
      <c r="C147" s="1"/>
      <c r="D147" s="1"/>
    </row>
    <row r="148" spans="2:5" x14ac:dyDescent="0.25">
      <c r="B148" s="1"/>
      <c r="C148" s="1"/>
      <c r="D148" s="1"/>
    </row>
    <row r="149" spans="2:5" x14ac:dyDescent="0.25">
      <c r="B149" s="1"/>
      <c r="C149" s="1"/>
      <c r="D149" s="1"/>
    </row>
    <row r="150" spans="2:5" x14ac:dyDescent="0.25">
      <c r="B150" s="1"/>
      <c r="C150" s="1"/>
      <c r="D150" s="1"/>
    </row>
    <row r="151" spans="2:5" x14ac:dyDescent="0.25">
      <c r="B151" s="1"/>
      <c r="C151" s="1"/>
      <c r="D151" s="1"/>
    </row>
    <row r="152" spans="2:5" x14ac:dyDescent="0.25">
      <c r="C152" s="1"/>
      <c r="D152" s="1"/>
      <c r="E152" s="1"/>
    </row>
    <row r="153" spans="2:5" x14ac:dyDescent="0.25">
      <c r="C153" s="1"/>
      <c r="D153" s="1"/>
      <c r="E153" s="1"/>
    </row>
    <row r="154" spans="2:5" x14ac:dyDescent="0.25">
      <c r="C154" s="1"/>
      <c r="D154" s="1"/>
      <c r="E154" s="1"/>
    </row>
    <row r="155" spans="2:5" x14ac:dyDescent="0.25">
      <c r="C155" s="1"/>
      <c r="D155" s="1"/>
      <c r="E155" s="1"/>
    </row>
    <row r="156" spans="2:5" x14ac:dyDescent="0.25">
      <c r="C156" s="1"/>
      <c r="D156" s="1"/>
      <c r="E156" s="1"/>
    </row>
    <row r="157" spans="2:5" x14ac:dyDescent="0.25">
      <c r="C157" s="1"/>
      <c r="D157" s="1"/>
      <c r="E157" s="1"/>
    </row>
    <row r="158" spans="2:5" x14ac:dyDescent="0.25">
      <c r="C158" s="1"/>
      <c r="D158" s="1"/>
      <c r="E158" s="1"/>
    </row>
    <row r="159" spans="2:5" x14ac:dyDescent="0.25">
      <c r="C159" s="1"/>
      <c r="D159" s="1"/>
      <c r="E159" s="1"/>
    </row>
    <row r="160" spans="2:5" x14ac:dyDescent="0.25">
      <c r="C160" s="1"/>
      <c r="D160" s="1"/>
      <c r="E160" s="1"/>
    </row>
    <row r="161" spans="3:5" x14ac:dyDescent="0.25">
      <c r="C161" s="1"/>
      <c r="D161" s="1"/>
      <c r="E161" s="1"/>
    </row>
    <row r="162" spans="3:5" x14ac:dyDescent="0.25">
      <c r="C162" s="1"/>
      <c r="D162" s="1"/>
      <c r="E162" s="1"/>
    </row>
    <row r="163" spans="3:5" x14ac:dyDescent="0.25">
      <c r="C163" s="1"/>
      <c r="D163" s="1"/>
      <c r="E163" s="1"/>
    </row>
    <row r="164" spans="3:5" x14ac:dyDescent="0.25">
      <c r="C164" s="1"/>
      <c r="D164" s="1"/>
      <c r="E164" s="1"/>
    </row>
    <row r="165" spans="3:5" x14ac:dyDescent="0.25">
      <c r="C165" s="1"/>
      <c r="D165" s="1"/>
      <c r="E165" s="1"/>
    </row>
    <row r="166" spans="3:5" x14ac:dyDescent="0.25">
      <c r="C166" s="1"/>
      <c r="D166" s="1"/>
      <c r="E166" s="1"/>
    </row>
    <row r="167" spans="3:5" x14ac:dyDescent="0.25">
      <c r="C167" s="1"/>
      <c r="D167" s="1"/>
      <c r="E167" s="1"/>
    </row>
    <row r="168" spans="3:5" x14ac:dyDescent="0.25">
      <c r="C168" s="1"/>
      <c r="D168" s="1"/>
      <c r="E168" s="1"/>
    </row>
    <row r="169" spans="3:5" x14ac:dyDescent="0.25">
      <c r="C169" s="1"/>
      <c r="D169" s="1"/>
      <c r="E169" s="1"/>
    </row>
    <row r="170" spans="3:5" x14ac:dyDescent="0.25">
      <c r="C170" s="1"/>
      <c r="D170" s="1"/>
      <c r="E170" s="1"/>
    </row>
    <row r="171" spans="3:5" x14ac:dyDescent="0.25">
      <c r="C171" s="1"/>
      <c r="D171" s="1"/>
      <c r="E171" s="1"/>
    </row>
    <row r="172" spans="3:5" x14ac:dyDescent="0.25">
      <c r="C172" s="1"/>
      <c r="D172" s="1"/>
      <c r="E172" s="1"/>
    </row>
    <row r="173" spans="3:5" x14ac:dyDescent="0.25">
      <c r="C173" s="1"/>
      <c r="D173" s="1"/>
      <c r="E173" s="1"/>
    </row>
    <row r="174" spans="3:5" x14ac:dyDescent="0.25">
      <c r="C174" s="1"/>
      <c r="D174" s="1"/>
      <c r="E174" s="1"/>
    </row>
    <row r="175" spans="3:5" x14ac:dyDescent="0.25">
      <c r="C175" s="1"/>
      <c r="D175" s="1"/>
      <c r="E175" s="1"/>
    </row>
    <row r="176" spans="3:5" x14ac:dyDescent="0.25">
      <c r="C176" s="1"/>
      <c r="D176" s="1"/>
      <c r="E176" s="1"/>
    </row>
    <row r="177" spans="3:5" x14ac:dyDescent="0.25">
      <c r="C177" s="1"/>
      <c r="D177" s="1"/>
      <c r="E177" s="1"/>
    </row>
    <row r="178" spans="3:5" x14ac:dyDescent="0.25">
      <c r="C178" s="1"/>
      <c r="D178" s="1"/>
      <c r="E178" s="1"/>
    </row>
    <row r="179" spans="3:5" x14ac:dyDescent="0.25">
      <c r="C179" s="1"/>
      <c r="D179" s="1"/>
      <c r="E179" s="1"/>
    </row>
    <row r="180" spans="3:5" x14ac:dyDescent="0.25">
      <c r="C180" s="1"/>
      <c r="D180" s="1"/>
      <c r="E180" s="1"/>
    </row>
    <row r="181" spans="3:5" x14ac:dyDescent="0.25">
      <c r="C181" s="1"/>
      <c r="D181" s="1"/>
      <c r="E181" s="1"/>
    </row>
    <row r="182" spans="3:5" x14ac:dyDescent="0.25">
      <c r="C182" s="1"/>
      <c r="D182" s="1"/>
      <c r="E182" s="1"/>
    </row>
    <row r="183" spans="3:5" x14ac:dyDescent="0.25">
      <c r="C183" s="1"/>
      <c r="D183" s="1"/>
      <c r="E183" s="1"/>
    </row>
    <row r="184" spans="3:5" x14ac:dyDescent="0.25">
      <c r="C184" s="1"/>
      <c r="D184" s="1"/>
      <c r="E184" s="1"/>
    </row>
    <row r="185" spans="3:5" x14ac:dyDescent="0.25">
      <c r="C185" s="1"/>
      <c r="D185" s="1"/>
      <c r="E185" s="1"/>
    </row>
    <row r="186" spans="3:5" x14ac:dyDescent="0.25">
      <c r="C186" s="1"/>
      <c r="D186" s="1"/>
      <c r="E186" s="1"/>
    </row>
    <row r="187" spans="3:5" x14ac:dyDescent="0.25">
      <c r="C187" s="1"/>
      <c r="D187" s="1"/>
      <c r="E187" s="1"/>
    </row>
    <row r="188" spans="3:5" x14ac:dyDescent="0.25">
      <c r="C188" s="1"/>
      <c r="D188" s="1"/>
      <c r="E188" s="1"/>
    </row>
    <row r="189" spans="3:5" x14ac:dyDescent="0.25">
      <c r="C189" s="1"/>
      <c r="D189" s="1"/>
      <c r="E189" s="1"/>
    </row>
    <row r="190" spans="3:5" x14ac:dyDescent="0.25">
      <c r="C190" s="1"/>
      <c r="D190" s="1"/>
      <c r="E190" s="1"/>
    </row>
    <row r="191" spans="3:5" x14ac:dyDescent="0.25">
      <c r="C191" s="1"/>
      <c r="D191" s="1"/>
      <c r="E191" s="1"/>
    </row>
    <row r="192" spans="3:5" x14ac:dyDescent="0.25">
      <c r="C192" s="1"/>
      <c r="D192" s="1"/>
      <c r="E192" s="1"/>
    </row>
    <row r="193" spans="3:5" x14ac:dyDescent="0.25">
      <c r="C193" s="1"/>
      <c r="D193" s="1"/>
      <c r="E193" s="1"/>
    </row>
    <row r="194" spans="3:5" x14ac:dyDescent="0.25">
      <c r="C194" s="1"/>
      <c r="D194" s="1"/>
      <c r="E194" s="1"/>
    </row>
    <row r="195" spans="3:5" x14ac:dyDescent="0.25">
      <c r="C195" s="1"/>
      <c r="D195" s="1"/>
      <c r="E195" s="1"/>
    </row>
    <row r="196" spans="3:5" x14ac:dyDescent="0.25">
      <c r="C196" s="1"/>
      <c r="D196" s="1"/>
      <c r="E196" s="1"/>
    </row>
    <row r="197" spans="3:5" x14ac:dyDescent="0.25">
      <c r="C197" s="1"/>
      <c r="D197" s="1"/>
      <c r="E197" s="1"/>
    </row>
    <row r="198" spans="3:5" x14ac:dyDescent="0.25">
      <c r="C198" s="1"/>
      <c r="D198" s="1"/>
      <c r="E198" s="1"/>
    </row>
    <row r="199" spans="3:5" x14ac:dyDescent="0.25">
      <c r="C199" s="1"/>
      <c r="D199" s="1"/>
      <c r="E199" s="1"/>
    </row>
    <row r="200" spans="3:5" x14ac:dyDescent="0.25">
      <c r="C200" s="1"/>
      <c r="D200" s="1"/>
      <c r="E200" s="1"/>
    </row>
    <row r="201" spans="3:5" x14ac:dyDescent="0.25">
      <c r="C201" s="1"/>
      <c r="D201" s="1"/>
      <c r="E201" s="1"/>
    </row>
    <row r="202" spans="3:5" x14ac:dyDescent="0.25">
      <c r="C202" s="1"/>
      <c r="D202" s="1"/>
      <c r="E202" s="1"/>
    </row>
    <row r="203" spans="3:5" x14ac:dyDescent="0.25">
      <c r="C203" s="1"/>
      <c r="D203" s="1"/>
      <c r="E203" s="1"/>
    </row>
    <row r="204" spans="3:5" x14ac:dyDescent="0.25">
      <c r="C204" s="1"/>
      <c r="D204" s="1"/>
      <c r="E204" s="1"/>
    </row>
    <row r="205" spans="3:5" x14ac:dyDescent="0.25">
      <c r="C205" s="1"/>
      <c r="D205" s="1"/>
      <c r="E205" s="1"/>
    </row>
    <row r="206" spans="3:5" x14ac:dyDescent="0.25">
      <c r="C206" s="1"/>
      <c r="D206" s="1"/>
      <c r="E206" s="1"/>
    </row>
    <row r="207" spans="3:5" x14ac:dyDescent="0.25">
      <c r="C207" s="1"/>
      <c r="D207" s="1"/>
      <c r="E207" s="1"/>
    </row>
    <row r="208" spans="3:5" x14ac:dyDescent="0.25">
      <c r="C208" s="1"/>
      <c r="D208" s="1"/>
      <c r="E208" s="1"/>
    </row>
    <row r="209" spans="3:5" x14ac:dyDescent="0.25">
      <c r="C209" s="1"/>
      <c r="D209" s="1"/>
      <c r="E209" s="1"/>
    </row>
    <row r="210" spans="3:5" x14ac:dyDescent="0.25">
      <c r="C210" s="1"/>
      <c r="D210" s="1"/>
      <c r="E210" s="1"/>
    </row>
    <row r="211" spans="3:5" x14ac:dyDescent="0.25">
      <c r="C211" s="1"/>
      <c r="D211" s="1"/>
      <c r="E211" s="1"/>
    </row>
    <row r="212" spans="3:5" x14ac:dyDescent="0.25">
      <c r="C212" s="1"/>
      <c r="D212" s="1"/>
      <c r="E212" s="1"/>
    </row>
    <row r="213" spans="3:5" x14ac:dyDescent="0.25">
      <c r="C213" s="1"/>
      <c r="D213" s="1"/>
      <c r="E213" s="1"/>
    </row>
    <row r="214" spans="3:5" x14ac:dyDescent="0.25">
      <c r="C214" s="1"/>
      <c r="D214" s="1"/>
      <c r="E214" s="1"/>
    </row>
    <row r="215" spans="3:5" x14ac:dyDescent="0.25">
      <c r="C215" s="1"/>
      <c r="D215" s="1"/>
      <c r="E215" s="1"/>
    </row>
    <row r="216" spans="3:5" x14ac:dyDescent="0.25">
      <c r="C216" s="1"/>
      <c r="D216" s="1"/>
      <c r="E216" s="1"/>
    </row>
    <row r="217" spans="3:5" x14ac:dyDescent="0.25">
      <c r="C217" s="1"/>
      <c r="D217" s="1"/>
      <c r="E217" s="1"/>
    </row>
    <row r="218" spans="3:5" x14ac:dyDescent="0.25">
      <c r="C218" s="1"/>
      <c r="D218" s="1"/>
      <c r="E218" s="1"/>
    </row>
    <row r="219" spans="3:5" x14ac:dyDescent="0.25">
      <c r="C219" s="1"/>
      <c r="D219" s="1"/>
      <c r="E219" s="1"/>
    </row>
    <row r="220" spans="3:5" x14ac:dyDescent="0.25">
      <c r="C220" s="1"/>
      <c r="D220" s="1"/>
      <c r="E220" s="1"/>
    </row>
    <row r="221" spans="3:5" x14ac:dyDescent="0.25">
      <c r="C221" s="1"/>
      <c r="D221" s="1"/>
      <c r="E221" s="1"/>
    </row>
    <row r="222" spans="3:5" x14ac:dyDescent="0.25">
      <c r="C222" s="1"/>
      <c r="D222" s="1"/>
      <c r="E222" s="1"/>
    </row>
    <row r="223" spans="3:5" x14ac:dyDescent="0.25">
      <c r="C223" s="1"/>
      <c r="D223" s="1"/>
      <c r="E223" s="1"/>
    </row>
    <row r="224" spans="3:5" x14ac:dyDescent="0.25">
      <c r="C224" s="1"/>
      <c r="D224" s="1"/>
      <c r="E224" s="1"/>
    </row>
    <row r="225" spans="3:5" x14ac:dyDescent="0.25">
      <c r="C225" s="1"/>
      <c r="D225" s="1"/>
      <c r="E225" s="1"/>
    </row>
    <row r="226" spans="3:5" x14ac:dyDescent="0.25">
      <c r="C226" s="1"/>
      <c r="D226" s="1"/>
      <c r="E226" s="1"/>
    </row>
    <row r="227" spans="3:5" x14ac:dyDescent="0.25">
      <c r="C227" s="1"/>
      <c r="D227" s="1"/>
      <c r="E227" s="1"/>
    </row>
    <row r="228" spans="3:5" x14ac:dyDescent="0.25">
      <c r="C228" s="1"/>
      <c r="D228" s="1"/>
      <c r="E228" s="1"/>
    </row>
    <row r="229" spans="3:5" x14ac:dyDescent="0.25">
      <c r="C229" s="1"/>
      <c r="D229" s="1"/>
      <c r="E229" s="1"/>
    </row>
    <row r="230" spans="3:5" x14ac:dyDescent="0.25">
      <c r="C230" s="1"/>
      <c r="D230" s="1"/>
      <c r="E230" s="1"/>
    </row>
    <row r="231" spans="3:5" x14ac:dyDescent="0.25">
      <c r="C231" s="1"/>
      <c r="D231" s="1"/>
      <c r="E231" s="1"/>
    </row>
    <row r="232" spans="3:5" x14ac:dyDescent="0.25">
      <c r="C232" s="1"/>
      <c r="D232" s="1"/>
      <c r="E232" s="1"/>
    </row>
    <row r="233" spans="3:5" x14ac:dyDescent="0.25">
      <c r="C233" s="1"/>
      <c r="D233" s="1"/>
      <c r="E233" s="1"/>
    </row>
    <row r="234" spans="3:5" x14ac:dyDescent="0.25">
      <c r="C234" s="1"/>
      <c r="D234" s="1"/>
      <c r="E234" s="1"/>
    </row>
    <row r="235" spans="3:5" x14ac:dyDescent="0.25">
      <c r="C235" s="1"/>
      <c r="D235" s="1"/>
      <c r="E235" s="1"/>
    </row>
    <row r="236" spans="3:5" x14ac:dyDescent="0.25">
      <c r="C236" s="1"/>
      <c r="D236" s="1"/>
      <c r="E236" s="1"/>
    </row>
    <row r="237" spans="3:5" x14ac:dyDescent="0.25">
      <c r="C237" s="1"/>
      <c r="D237" s="1"/>
      <c r="E237" s="1"/>
    </row>
    <row r="238" spans="3:5" x14ac:dyDescent="0.25">
      <c r="C238" s="1"/>
      <c r="D238" s="1"/>
      <c r="E238" s="1"/>
    </row>
    <row r="239" spans="3:5" x14ac:dyDescent="0.25">
      <c r="C239" s="1"/>
      <c r="D239" s="1"/>
      <c r="E239" s="1"/>
    </row>
    <row r="240" spans="3:5" x14ac:dyDescent="0.25">
      <c r="C240" s="1"/>
      <c r="D240" s="1"/>
      <c r="E240" s="1"/>
    </row>
    <row r="241" spans="3:5" x14ac:dyDescent="0.25">
      <c r="C241" s="1"/>
      <c r="D241" s="1"/>
      <c r="E241" s="1"/>
    </row>
    <row r="242" spans="3:5" x14ac:dyDescent="0.25">
      <c r="C242" s="1"/>
      <c r="D242" s="1"/>
      <c r="E242" s="1"/>
    </row>
    <row r="243" spans="3:5" x14ac:dyDescent="0.25">
      <c r="C243" s="1"/>
      <c r="D243" s="1"/>
      <c r="E243" s="1"/>
    </row>
    <row r="244" spans="3:5" x14ac:dyDescent="0.25">
      <c r="C244" s="1"/>
      <c r="D244" s="1"/>
      <c r="E244" s="1"/>
    </row>
    <row r="245" spans="3:5" x14ac:dyDescent="0.25">
      <c r="C245" s="1"/>
      <c r="D245" s="1"/>
      <c r="E245" s="1"/>
    </row>
    <row r="246" spans="3:5" x14ac:dyDescent="0.25">
      <c r="C246" s="1"/>
      <c r="D246" s="1"/>
      <c r="E246" s="1"/>
    </row>
    <row r="247" spans="3:5" x14ac:dyDescent="0.25">
      <c r="C247" s="1"/>
      <c r="D247" s="1"/>
      <c r="E247" s="1"/>
    </row>
    <row r="248" spans="3:5" x14ac:dyDescent="0.25">
      <c r="C248" s="1"/>
      <c r="D248" s="1"/>
      <c r="E248" s="1"/>
    </row>
    <row r="249" spans="3:5" x14ac:dyDescent="0.25">
      <c r="C249" s="1"/>
      <c r="D249" s="1"/>
      <c r="E249" s="1"/>
    </row>
    <row r="250" spans="3:5" x14ac:dyDescent="0.25">
      <c r="C250" s="1"/>
      <c r="D250" s="1"/>
      <c r="E250" s="1"/>
    </row>
    <row r="251" spans="3:5" x14ac:dyDescent="0.25">
      <c r="C251" s="1"/>
      <c r="D251" s="1"/>
      <c r="E251" s="1"/>
    </row>
    <row r="252" spans="3:5" x14ac:dyDescent="0.25">
      <c r="C252" s="1"/>
      <c r="D252" s="1"/>
      <c r="E252" s="1"/>
    </row>
    <row r="253" spans="3:5" x14ac:dyDescent="0.25">
      <c r="C253" s="1"/>
      <c r="D253" s="1"/>
      <c r="E253" s="1"/>
    </row>
    <row r="254" spans="3:5" x14ac:dyDescent="0.25">
      <c r="C254" s="1"/>
      <c r="D254" s="1"/>
      <c r="E254" s="1"/>
    </row>
    <row r="255" spans="3:5" x14ac:dyDescent="0.25">
      <c r="C255" s="1"/>
      <c r="D255" s="1"/>
      <c r="E255" s="1"/>
    </row>
    <row r="256" spans="3:5" x14ac:dyDescent="0.25">
      <c r="C256" s="1"/>
      <c r="D256" s="1"/>
      <c r="E256" s="1"/>
    </row>
    <row r="257" spans="3:5" x14ac:dyDescent="0.25">
      <c r="C257" s="1"/>
      <c r="D257" s="1"/>
      <c r="E257" s="1"/>
    </row>
    <row r="258" spans="3:5" x14ac:dyDescent="0.25">
      <c r="C258" s="1"/>
      <c r="D258" s="1"/>
      <c r="E258" s="1"/>
    </row>
    <row r="259" spans="3:5" x14ac:dyDescent="0.25">
      <c r="C259" s="1"/>
      <c r="D259" s="1"/>
      <c r="E259" s="1"/>
    </row>
    <row r="260" spans="3:5" x14ac:dyDescent="0.25">
      <c r="C260" s="1"/>
      <c r="D260" s="1"/>
      <c r="E260" s="1"/>
    </row>
    <row r="261" spans="3:5" x14ac:dyDescent="0.25">
      <c r="C261" s="1"/>
      <c r="D261" s="1"/>
      <c r="E261" s="1"/>
    </row>
    <row r="262" spans="3:5" x14ac:dyDescent="0.25">
      <c r="C262" s="1"/>
      <c r="D262" s="1"/>
      <c r="E262" s="1"/>
    </row>
    <row r="263" spans="3:5" x14ac:dyDescent="0.25">
      <c r="C263" s="1"/>
      <c r="D263" s="1"/>
      <c r="E263" s="1"/>
    </row>
    <row r="264" spans="3:5" x14ac:dyDescent="0.25">
      <c r="C264" s="1"/>
      <c r="D264" s="1"/>
      <c r="E264" s="1"/>
    </row>
    <row r="265" spans="3:5" x14ac:dyDescent="0.25">
      <c r="C265" s="1"/>
      <c r="D265" s="1"/>
      <c r="E265" s="1"/>
    </row>
    <row r="266" spans="3:5" x14ac:dyDescent="0.25">
      <c r="C266" s="1"/>
      <c r="D266" s="1"/>
      <c r="E266" s="1"/>
    </row>
    <row r="267" spans="3:5" x14ac:dyDescent="0.25">
      <c r="C267" s="1"/>
      <c r="D267" s="1"/>
      <c r="E267" s="1"/>
    </row>
    <row r="268" spans="3:5" x14ac:dyDescent="0.25">
      <c r="C268" s="1"/>
      <c r="D268" s="1"/>
      <c r="E268" s="1"/>
    </row>
    <row r="269" spans="3:5" x14ac:dyDescent="0.25">
      <c r="C269" s="1"/>
      <c r="D269" s="1"/>
      <c r="E269" s="1"/>
    </row>
    <row r="270" spans="3:5" x14ac:dyDescent="0.25">
      <c r="C270" s="1"/>
      <c r="D270" s="1"/>
      <c r="E270" s="1"/>
    </row>
    <row r="271" spans="3:5" x14ac:dyDescent="0.25">
      <c r="C271" s="1"/>
      <c r="D271" s="1"/>
      <c r="E271" s="1"/>
    </row>
    <row r="272" spans="3:5" x14ac:dyDescent="0.25">
      <c r="C272" s="1"/>
      <c r="D272" s="1"/>
      <c r="E272" s="1"/>
    </row>
    <row r="273" spans="3:5" x14ac:dyDescent="0.25">
      <c r="C273" s="1"/>
      <c r="D273" s="1"/>
      <c r="E273" s="1"/>
    </row>
    <row r="274" spans="3:5" x14ac:dyDescent="0.25">
      <c r="C274" s="1"/>
      <c r="D274" s="1"/>
      <c r="E274" s="1"/>
    </row>
    <row r="275" spans="3:5" x14ac:dyDescent="0.25">
      <c r="C275" s="1"/>
      <c r="D275" s="1"/>
      <c r="E275" s="1"/>
    </row>
    <row r="276" spans="3:5" x14ac:dyDescent="0.25">
      <c r="C276" s="1"/>
      <c r="D276" s="1"/>
      <c r="E276" s="1"/>
    </row>
    <row r="277" spans="3:5" x14ac:dyDescent="0.25">
      <c r="C277" s="1"/>
      <c r="D277" s="1"/>
      <c r="E277" s="1"/>
    </row>
    <row r="278" spans="3:5" x14ac:dyDescent="0.25">
      <c r="C278" s="1"/>
      <c r="D278" s="1"/>
      <c r="E278" s="1"/>
    </row>
    <row r="279" spans="3:5" x14ac:dyDescent="0.25">
      <c r="C279" s="1"/>
      <c r="D279" s="1"/>
      <c r="E279" s="1"/>
    </row>
    <row r="280" spans="3:5" x14ac:dyDescent="0.25">
      <c r="C280" s="1"/>
      <c r="D280" s="1"/>
      <c r="E280" s="1"/>
    </row>
    <row r="281" spans="3:5" x14ac:dyDescent="0.25">
      <c r="C281" s="1"/>
      <c r="D281" s="1"/>
      <c r="E281" s="1"/>
    </row>
    <row r="282" spans="3:5" x14ac:dyDescent="0.25">
      <c r="C282" s="1"/>
      <c r="D282" s="1"/>
      <c r="E282" s="1"/>
    </row>
    <row r="283" spans="3:5" x14ac:dyDescent="0.25">
      <c r="C283" s="1"/>
      <c r="D283" s="1"/>
      <c r="E283" s="1"/>
    </row>
    <row r="284" spans="3:5" x14ac:dyDescent="0.25">
      <c r="C284" s="1"/>
      <c r="D284" s="1"/>
      <c r="E284" s="1"/>
    </row>
    <row r="285" spans="3:5" x14ac:dyDescent="0.25">
      <c r="C285" s="1"/>
      <c r="D285" s="1"/>
      <c r="E285" s="1"/>
    </row>
    <row r="286" spans="3:5" x14ac:dyDescent="0.25">
      <c r="C286" s="1"/>
      <c r="D286" s="1"/>
      <c r="E286" s="1"/>
    </row>
    <row r="287" spans="3:5" x14ac:dyDescent="0.25">
      <c r="C287" s="1"/>
      <c r="D287" s="1"/>
      <c r="E287" s="1"/>
    </row>
    <row r="288" spans="3:5" x14ac:dyDescent="0.25">
      <c r="C288" s="1"/>
      <c r="D288" s="1"/>
      <c r="E288" s="1"/>
    </row>
    <row r="289" spans="3:5" x14ac:dyDescent="0.25">
      <c r="C289" s="1"/>
      <c r="D289" s="1"/>
      <c r="E289" s="1"/>
    </row>
    <row r="290" spans="3:5" x14ac:dyDescent="0.25">
      <c r="C290" s="1"/>
      <c r="D290" s="1"/>
      <c r="E290" s="1"/>
    </row>
    <row r="291" spans="3:5" x14ac:dyDescent="0.25">
      <c r="C291" s="1"/>
      <c r="D291" s="1"/>
      <c r="E291" s="1"/>
    </row>
    <row r="292" spans="3:5" x14ac:dyDescent="0.25">
      <c r="C292" s="1"/>
      <c r="D292" s="1"/>
      <c r="E292" s="1"/>
    </row>
    <row r="293" spans="3:5" x14ac:dyDescent="0.25">
      <c r="C293" s="1"/>
      <c r="D293" s="1"/>
      <c r="E293" s="1"/>
    </row>
    <row r="294" spans="3:5" x14ac:dyDescent="0.25">
      <c r="C294" s="1"/>
      <c r="D294" s="1"/>
      <c r="E294" s="1"/>
    </row>
    <row r="295" spans="3:5" x14ac:dyDescent="0.25">
      <c r="C295" s="1"/>
      <c r="D295" s="1"/>
      <c r="E295" s="1"/>
    </row>
    <row r="296" spans="3:5" x14ac:dyDescent="0.25">
      <c r="C296" s="1"/>
      <c r="D296" s="1"/>
      <c r="E296" s="1"/>
    </row>
    <row r="297" spans="3:5" x14ac:dyDescent="0.25">
      <c r="C297" s="1"/>
      <c r="D297" s="1"/>
      <c r="E297" s="1"/>
    </row>
    <row r="298" spans="3:5" x14ac:dyDescent="0.25">
      <c r="C298" s="1"/>
      <c r="D298" s="1"/>
      <c r="E298" s="1"/>
    </row>
    <row r="299" spans="3:5" x14ac:dyDescent="0.25">
      <c r="C299" s="1"/>
      <c r="D299" s="1"/>
      <c r="E299" s="1"/>
    </row>
    <row r="300" spans="3:5" x14ac:dyDescent="0.25">
      <c r="C300" s="1"/>
      <c r="D300" s="1"/>
      <c r="E300" s="1"/>
    </row>
    <row r="301" spans="3:5" x14ac:dyDescent="0.25">
      <c r="C301" s="1"/>
      <c r="D301" s="1"/>
      <c r="E301" s="1"/>
    </row>
    <row r="302" spans="3:5" x14ac:dyDescent="0.25">
      <c r="C302" s="1"/>
      <c r="D302" s="1"/>
      <c r="E302" s="1"/>
    </row>
    <row r="303" spans="3:5" x14ac:dyDescent="0.25">
      <c r="C303" s="1"/>
      <c r="D303" s="1"/>
      <c r="E303" s="1"/>
    </row>
    <row r="304" spans="3:5" x14ac:dyDescent="0.25">
      <c r="C304" s="1"/>
      <c r="D304" s="1"/>
      <c r="E304" s="1"/>
    </row>
    <row r="305" spans="3:5" x14ac:dyDescent="0.25">
      <c r="C305" s="1"/>
      <c r="D305" s="1"/>
      <c r="E305" s="1"/>
    </row>
    <row r="306" spans="3:5" x14ac:dyDescent="0.25">
      <c r="C306" s="1"/>
      <c r="D306" s="1"/>
      <c r="E306" s="1"/>
    </row>
    <row r="307" spans="3:5" x14ac:dyDescent="0.25">
      <c r="C307" s="1"/>
      <c r="D307" s="1"/>
      <c r="E307" s="1"/>
    </row>
    <row r="308" spans="3:5" x14ac:dyDescent="0.25">
      <c r="C308" s="1"/>
      <c r="D308" s="1"/>
      <c r="E308" s="1"/>
    </row>
    <row r="309" spans="3:5" x14ac:dyDescent="0.25">
      <c r="C309" s="1"/>
      <c r="D309" s="1"/>
      <c r="E309" s="1"/>
    </row>
    <row r="310" spans="3:5" x14ac:dyDescent="0.25">
      <c r="C310" s="1"/>
      <c r="D310" s="1"/>
      <c r="E310" s="1"/>
    </row>
    <row r="311" spans="3:5" x14ac:dyDescent="0.25">
      <c r="C311" s="1"/>
      <c r="D311" s="1"/>
      <c r="E311" s="1"/>
    </row>
    <row r="312" spans="3:5" x14ac:dyDescent="0.25">
      <c r="C312" s="1"/>
      <c r="D312" s="1"/>
      <c r="E312" s="1"/>
    </row>
    <row r="313" spans="3:5" x14ac:dyDescent="0.25">
      <c r="C313" s="1"/>
      <c r="D313" s="1"/>
      <c r="E313" s="1"/>
    </row>
    <row r="314" spans="3:5" x14ac:dyDescent="0.25">
      <c r="C314" s="1"/>
      <c r="D314" s="1"/>
      <c r="E314" s="1"/>
    </row>
    <row r="315" spans="3:5" x14ac:dyDescent="0.25">
      <c r="C315" s="1"/>
      <c r="D315" s="1"/>
      <c r="E315" s="1"/>
    </row>
    <row r="316" spans="3:5" x14ac:dyDescent="0.25">
      <c r="C316" s="1"/>
      <c r="D316" s="1"/>
      <c r="E316" s="1"/>
    </row>
    <row r="317" spans="3:5" x14ac:dyDescent="0.25">
      <c r="C317" s="1"/>
      <c r="D317" s="1"/>
      <c r="E317" s="1"/>
    </row>
    <row r="318" spans="3:5" x14ac:dyDescent="0.25">
      <c r="C318" s="1"/>
      <c r="D318" s="1"/>
      <c r="E318" s="1"/>
    </row>
    <row r="319" spans="3:5" x14ac:dyDescent="0.25">
      <c r="C319" s="1"/>
      <c r="D319" s="1"/>
      <c r="E319" s="1"/>
    </row>
    <row r="320" spans="3:5" x14ac:dyDescent="0.25">
      <c r="C320" s="1"/>
      <c r="D320" s="1"/>
      <c r="E320" s="1"/>
    </row>
    <row r="321" spans="3:5" x14ac:dyDescent="0.25">
      <c r="C321" s="1"/>
      <c r="D321" s="1"/>
      <c r="E321" s="1"/>
    </row>
    <row r="322" spans="3:5" x14ac:dyDescent="0.25">
      <c r="C322" s="1"/>
      <c r="D322" s="1"/>
      <c r="E322" s="1"/>
    </row>
    <row r="323" spans="3:5" x14ac:dyDescent="0.25">
      <c r="C323" s="1"/>
      <c r="D323" s="1"/>
      <c r="E323" s="1"/>
    </row>
    <row r="324" spans="3:5" x14ac:dyDescent="0.25">
      <c r="C324" s="1"/>
      <c r="D324" s="1"/>
      <c r="E324" s="1"/>
    </row>
    <row r="325" spans="3:5" x14ac:dyDescent="0.25">
      <c r="C325" s="1"/>
      <c r="D325" s="1"/>
      <c r="E325" s="1"/>
    </row>
    <row r="326" spans="3:5" x14ac:dyDescent="0.25">
      <c r="C326" s="1"/>
      <c r="D326" s="1"/>
      <c r="E326" s="1"/>
    </row>
    <row r="327" spans="3:5" x14ac:dyDescent="0.25">
      <c r="C327" s="1"/>
      <c r="D327" s="1"/>
      <c r="E327" s="1"/>
    </row>
    <row r="328" spans="3:5" x14ac:dyDescent="0.25">
      <c r="C328" s="1"/>
      <c r="D328" s="1"/>
      <c r="E328" s="1"/>
    </row>
    <row r="329" spans="3:5" x14ac:dyDescent="0.25">
      <c r="C329" s="1"/>
      <c r="D329" s="1"/>
      <c r="E329" s="1"/>
    </row>
    <row r="330" spans="3:5" x14ac:dyDescent="0.25">
      <c r="C330" s="1"/>
      <c r="D330" s="1"/>
      <c r="E330" s="1"/>
    </row>
    <row r="331" spans="3:5" x14ac:dyDescent="0.25">
      <c r="C331" s="1"/>
      <c r="D331" s="1"/>
      <c r="E331" s="1"/>
    </row>
    <row r="332" spans="3:5" x14ac:dyDescent="0.25">
      <c r="C332" s="1"/>
      <c r="D332" s="1"/>
      <c r="E332" s="1"/>
    </row>
    <row r="333" spans="3:5" x14ac:dyDescent="0.25">
      <c r="C333" s="1"/>
      <c r="D333" s="1"/>
      <c r="E333" s="1"/>
    </row>
    <row r="334" spans="3:5" x14ac:dyDescent="0.25">
      <c r="C334" s="1"/>
      <c r="D334" s="1"/>
      <c r="E334" s="1"/>
    </row>
    <row r="335" spans="3:5" x14ac:dyDescent="0.25">
      <c r="C335" s="1"/>
      <c r="D335" s="1"/>
      <c r="E335" s="1"/>
    </row>
    <row r="336" spans="3:5" x14ac:dyDescent="0.25">
      <c r="C336" s="1"/>
      <c r="D336" s="1"/>
      <c r="E336" s="1"/>
    </row>
    <row r="337" spans="3:5" x14ac:dyDescent="0.25">
      <c r="C337" s="1"/>
      <c r="D337" s="1"/>
      <c r="E337" s="1"/>
    </row>
    <row r="338" spans="3:5" x14ac:dyDescent="0.25">
      <c r="C338" s="1"/>
      <c r="D338" s="1"/>
      <c r="E338" s="1"/>
    </row>
    <row r="339" spans="3:5" x14ac:dyDescent="0.25">
      <c r="C339" s="1"/>
      <c r="D339" s="1"/>
      <c r="E339" s="1"/>
    </row>
    <row r="340" spans="3:5" x14ac:dyDescent="0.25">
      <c r="C340" s="1"/>
      <c r="D340" s="1"/>
      <c r="E340" s="1"/>
    </row>
    <row r="341" spans="3:5" x14ac:dyDescent="0.25">
      <c r="C341" s="1"/>
      <c r="D341" s="1"/>
      <c r="E341" s="1"/>
    </row>
    <row r="342" spans="3:5" x14ac:dyDescent="0.25">
      <c r="C342" s="1"/>
      <c r="D342" s="1"/>
      <c r="E342" s="1"/>
    </row>
    <row r="343" spans="3:5" x14ac:dyDescent="0.25">
      <c r="C343" s="1"/>
      <c r="D343" s="1"/>
      <c r="E343" s="1"/>
    </row>
    <row r="344" spans="3:5" x14ac:dyDescent="0.25">
      <c r="C344" s="1"/>
      <c r="D344" s="1"/>
      <c r="E344" s="1"/>
    </row>
    <row r="345" spans="3:5" x14ac:dyDescent="0.25">
      <c r="C345" s="1"/>
      <c r="D345" s="1"/>
      <c r="E345" s="1"/>
    </row>
    <row r="346" spans="3:5" x14ac:dyDescent="0.25">
      <c r="C346" s="1"/>
      <c r="D346" s="1"/>
      <c r="E346" s="1"/>
    </row>
    <row r="347" spans="3:5" x14ac:dyDescent="0.25">
      <c r="C347" s="1"/>
      <c r="D347" s="1"/>
      <c r="E347" s="1"/>
    </row>
    <row r="348" spans="3:5" x14ac:dyDescent="0.25">
      <c r="C348" s="1"/>
      <c r="D348" s="1"/>
      <c r="E348" s="1"/>
    </row>
    <row r="349" spans="3:5" x14ac:dyDescent="0.25">
      <c r="C349" s="1"/>
      <c r="D349" s="1"/>
      <c r="E349" s="1"/>
    </row>
    <row r="350" spans="3:5" x14ac:dyDescent="0.25">
      <c r="C350" s="1"/>
      <c r="D350" s="1"/>
      <c r="E350" s="1"/>
    </row>
    <row r="351" spans="3:5" x14ac:dyDescent="0.25">
      <c r="C351" s="1"/>
      <c r="D351" s="1"/>
      <c r="E351" s="1"/>
    </row>
    <row r="352" spans="3:5" x14ac:dyDescent="0.25">
      <c r="C352" s="1"/>
      <c r="D352" s="1"/>
      <c r="E352" s="1"/>
    </row>
    <row r="353" spans="3:5" x14ac:dyDescent="0.25">
      <c r="C353" s="1"/>
      <c r="D353" s="1"/>
      <c r="E353" s="1"/>
    </row>
    <row r="354" spans="3:5" x14ac:dyDescent="0.25">
      <c r="C354" s="1"/>
      <c r="D354" s="1"/>
      <c r="E354" s="1"/>
    </row>
    <row r="355" spans="3:5" x14ac:dyDescent="0.25">
      <c r="C355" s="1"/>
      <c r="D355" s="1"/>
      <c r="E355" s="1"/>
    </row>
    <row r="356" spans="3:5" x14ac:dyDescent="0.25">
      <c r="C356" s="1"/>
      <c r="D356" s="1"/>
      <c r="E356" s="1"/>
    </row>
    <row r="357" spans="3:5" x14ac:dyDescent="0.25">
      <c r="C357" s="1"/>
      <c r="D357" s="1"/>
      <c r="E357" s="1"/>
    </row>
    <row r="358" spans="3:5" x14ac:dyDescent="0.25">
      <c r="C358" s="1"/>
      <c r="D358" s="1"/>
      <c r="E358" s="1"/>
    </row>
    <row r="359" spans="3:5" x14ac:dyDescent="0.25">
      <c r="C359" s="1"/>
      <c r="D359" s="1"/>
      <c r="E359" s="1"/>
    </row>
    <row r="360" spans="3:5" x14ac:dyDescent="0.25">
      <c r="C360" s="1"/>
      <c r="D360" s="1"/>
      <c r="E360" s="1"/>
    </row>
    <row r="361" spans="3:5" x14ac:dyDescent="0.25">
      <c r="C361" s="1"/>
      <c r="D361" s="1"/>
      <c r="E361" s="1"/>
    </row>
    <row r="362" spans="3:5" x14ac:dyDescent="0.25">
      <c r="C362" s="1"/>
      <c r="D362" s="1"/>
      <c r="E362" s="1"/>
    </row>
    <row r="363" spans="3:5" x14ac:dyDescent="0.25">
      <c r="C363" s="1"/>
      <c r="D363" s="1"/>
      <c r="E363" s="1"/>
    </row>
    <row r="364" spans="3:5" x14ac:dyDescent="0.25">
      <c r="C364" s="1"/>
      <c r="D364" s="1"/>
      <c r="E364" s="1"/>
    </row>
    <row r="365" spans="3:5" x14ac:dyDescent="0.25">
      <c r="C365" s="1"/>
      <c r="D365" s="1"/>
      <c r="E365" s="1"/>
    </row>
    <row r="366" spans="3:5" x14ac:dyDescent="0.25">
      <c r="C366" s="1"/>
      <c r="D366" s="1"/>
      <c r="E366" s="1"/>
    </row>
    <row r="367" spans="3:5" x14ac:dyDescent="0.25">
      <c r="C367" s="1"/>
      <c r="D367" s="1"/>
      <c r="E367" s="1"/>
    </row>
    <row r="368" spans="3:5" x14ac:dyDescent="0.25">
      <c r="C368" s="1"/>
      <c r="D368" s="1"/>
      <c r="E368" s="1"/>
    </row>
    <row r="369" spans="3:5" x14ac:dyDescent="0.25">
      <c r="C369" s="1"/>
      <c r="D369" s="1"/>
      <c r="E369" s="1"/>
    </row>
    <row r="370" spans="3:5" x14ac:dyDescent="0.25">
      <c r="C370" s="1"/>
      <c r="D370" s="1"/>
      <c r="E370" s="1"/>
    </row>
    <row r="371" spans="3:5" x14ac:dyDescent="0.25">
      <c r="C371" s="1"/>
      <c r="D371" s="1"/>
      <c r="E371" s="1"/>
    </row>
    <row r="372" spans="3:5" x14ac:dyDescent="0.25">
      <c r="C372" s="1"/>
      <c r="D372" s="1"/>
      <c r="E372" s="1"/>
    </row>
    <row r="373" spans="3:5" x14ac:dyDescent="0.25">
      <c r="C373" s="1"/>
      <c r="D373" s="1"/>
      <c r="E373" s="1"/>
    </row>
    <row r="374" spans="3:5" x14ac:dyDescent="0.25">
      <c r="C374" s="1"/>
      <c r="D374" s="1"/>
      <c r="E374" s="1"/>
    </row>
    <row r="375" spans="3:5" x14ac:dyDescent="0.25">
      <c r="C375" s="1"/>
      <c r="D375" s="1"/>
      <c r="E375" s="1"/>
    </row>
    <row r="376" spans="3:5" x14ac:dyDescent="0.25">
      <c r="C376" s="1"/>
      <c r="D376" s="1"/>
      <c r="E376" s="1"/>
    </row>
    <row r="377" spans="3:5" x14ac:dyDescent="0.25">
      <c r="C377" s="1"/>
      <c r="D377" s="1"/>
      <c r="E377" s="1"/>
    </row>
    <row r="378" spans="3:5" x14ac:dyDescent="0.25">
      <c r="C378" s="1"/>
      <c r="D378" s="1"/>
      <c r="E378" s="1"/>
    </row>
    <row r="379" spans="3:5" x14ac:dyDescent="0.25">
      <c r="C379" s="1"/>
      <c r="D379" s="1"/>
      <c r="E379" s="1"/>
    </row>
    <row r="380" spans="3:5" x14ac:dyDescent="0.25">
      <c r="C380" s="1"/>
      <c r="E380" s="1"/>
    </row>
    <row r="381" spans="3:5" x14ac:dyDescent="0.25">
      <c r="C381" s="1"/>
      <c r="E381" s="1"/>
    </row>
    <row r="382" spans="3:5" x14ac:dyDescent="0.25">
      <c r="C382" s="1"/>
      <c r="E382" s="1"/>
    </row>
    <row r="383" spans="3:5" x14ac:dyDescent="0.25">
      <c r="C383" s="1"/>
      <c r="E383" s="1"/>
    </row>
    <row r="384" spans="3:5" x14ac:dyDescent="0.25">
      <c r="C384" s="1"/>
      <c r="E384" s="1"/>
    </row>
    <row r="385" spans="3:5" x14ac:dyDescent="0.25">
      <c r="C385" s="1"/>
      <c r="E385" s="1"/>
    </row>
    <row r="386" spans="3:5" x14ac:dyDescent="0.25">
      <c r="C386" s="1"/>
      <c r="E386" s="1"/>
    </row>
    <row r="387" spans="3:5" x14ac:dyDescent="0.25">
      <c r="C387" s="1"/>
      <c r="E387" s="1"/>
    </row>
    <row r="388" spans="3:5" x14ac:dyDescent="0.25">
      <c r="C388" s="1"/>
      <c r="E388" s="1"/>
    </row>
    <row r="389" spans="3:5" x14ac:dyDescent="0.25">
      <c r="C389" s="1"/>
      <c r="E389" s="1"/>
    </row>
    <row r="390" spans="3:5" x14ac:dyDescent="0.25">
      <c r="C390" s="1"/>
      <c r="E390" s="1"/>
    </row>
    <row r="391" spans="3:5" x14ac:dyDescent="0.25">
      <c r="C391" s="1"/>
      <c r="E391" s="1"/>
    </row>
    <row r="392" spans="3:5" x14ac:dyDescent="0.25">
      <c r="C392" s="1"/>
      <c r="E392" s="1"/>
    </row>
    <row r="393" spans="3:5" x14ac:dyDescent="0.25">
      <c r="C393" s="1"/>
      <c r="E393" s="1"/>
    </row>
    <row r="394" spans="3:5" x14ac:dyDescent="0.25">
      <c r="C394" s="1"/>
      <c r="E394" s="1"/>
    </row>
    <row r="395" spans="3:5" x14ac:dyDescent="0.25">
      <c r="C395" s="1"/>
      <c r="E395" s="1"/>
    </row>
    <row r="396" spans="3:5" x14ac:dyDescent="0.25">
      <c r="C396" s="1"/>
    </row>
    <row r="397" spans="3:5" x14ac:dyDescent="0.25">
      <c r="C397" s="1"/>
    </row>
    <row r="398" spans="3:5" x14ac:dyDescent="0.25">
      <c r="C398" s="1"/>
    </row>
    <row r="399" spans="3:5" x14ac:dyDescent="0.25">
      <c r="C399" s="1"/>
    </row>
    <row r="400" spans="3:5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E531"/>
  <sheetViews>
    <sheetView topLeftCell="A13" workbookViewId="0">
      <selection activeCell="A30" sqref="A30"/>
    </sheetView>
  </sheetViews>
  <sheetFormatPr baseColWidth="10" defaultRowHeight="15" x14ac:dyDescent="0.25"/>
  <cols>
    <col min="1" max="1" width="4.85546875" customWidth="1"/>
    <col min="2" max="2" width="2.85546875" customWidth="1"/>
    <col min="3" max="5" width="12" customWidth="1"/>
  </cols>
  <sheetData>
    <row r="1" spans="1:5" x14ac:dyDescent="0.25">
      <c r="A1" t="s">
        <v>0</v>
      </c>
      <c r="B1" t="s">
        <v>249</v>
      </c>
      <c r="C1" t="s">
        <v>250</v>
      </c>
      <c r="D1" t="s">
        <v>251</v>
      </c>
      <c r="E1" t="s">
        <v>252</v>
      </c>
    </row>
    <row r="2" spans="1:5" x14ac:dyDescent="0.25">
      <c r="A2" s="1">
        <v>1</v>
      </c>
      <c r="B2" s="1">
        <v>1</v>
      </c>
      <c r="C2" s="1">
        <v>1</v>
      </c>
      <c r="D2" s="1">
        <v>220</v>
      </c>
      <c r="E2" s="2">
        <v>46161</v>
      </c>
    </row>
    <row r="3" spans="1:5" x14ac:dyDescent="0.25">
      <c r="A3" s="1">
        <v>1</v>
      </c>
      <c r="B3" s="1">
        <v>2</v>
      </c>
      <c r="C3" s="1">
        <v>2</v>
      </c>
      <c r="D3" s="1">
        <v>355</v>
      </c>
      <c r="E3" s="2">
        <v>46163</v>
      </c>
    </row>
    <row r="4" spans="1:5" x14ac:dyDescent="0.25">
      <c r="A4" s="1">
        <v>1</v>
      </c>
      <c r="B4" s="1">
        <v>3</v>
      </c>
      <c r="C4" s="1">
        <v>30</v>
      </c>
      <c r="D4" s="1">
        <v>1</v>
      </c>
      <c r="E4" s="2">
        <v>46165</v>
      </c>
    </row>
    <row r="5" spans="1:5" x14ac:dyDescent="0.25">
      <c r="A5" s="1">
        <v>1</v>
      </c>
      <c r="B5" s="1">
        <v>4</v>
      </c>
      <c r="C5" s="1">
        <v>30</v>
      </c>
      <c r="D5" s="1">
        <v>1</v>
      </c>
      <c r="E5" s="2">
        <v>46166</v>
      </c>
    </row>
    <row r="6" spans="1:5" x14ac:dyDescent="0.25">
      <c r="A6" s="1">
        <v>1</v>
      </c>
      <c r="B6" s="1">
        <v>5</v>
      </c>
      <c r="C6" s="1">
        <v>30</v>
      </c>
      <c r="D6" s="1">
        <v>1</v>
      </c>
      <c r="E6" s="2">
        <v>46167</v>
      </c>
    </row>
    <row r="7" spans="1:5" x14ac:dyDescent="0.25">
      <c r="A7" s="1">
        <v>1</v>
      </c>
      <c r="B7" s="1">
        <v>6</v>
      </c>
      <c r="C7" s="1">
        <v>30</v>
      </c>
      <c r="D7" s="1">
        <v>1</v>
      </c>
      <c r="E7" s="2">
        <v>46168</v>
      </c>
    </row>
    <row r="8" spans="1:5" x14ac:dyDescent="0.25">
      <c r="A8" s="1">
        <v>1</v>
      </c>
      <c r="B8" s="1">
        <v>7</v>
      </c>
      <c r="C8" s="1">
        <v>30</v>
      </c>
      <c r="D8" s="1">
        <v>1</v>
      </c>
      <c r="E8" s="2">
        <v>46169</v>
      </c>
    </row>
    <row r="9" spans="1:5" x14ac:dyDescent="0.25">
      <c r="A9" s="1">
        <v>1</v>
      </c>
      <c r="B9" s="1">
        <v>8</v>
      </c>
      <c r="C9" s="1">
        <v>30</v>
      </c>
      <c r="D9" s="1">
        <v>1</v>
      </c>
      <c r="E9" s="2">
        <v>46170</v>
      </c>
    </row>
    <row r="10" spans="1:5" x14ac:dyDescent="0.25">
      <c r="A10" s="1">
        <v>1</v>
      </c>
      <c r="B10" s="1">
        <v>9</v>
      </c>
      <c r="C10" s="1">
        <v>30</v>
      </c>
      <c r="D10" s="1">
        <v>1</v>
      </c>
      <c r="E10" s="2">
        <v>46171</v>
      </c>
    </row>
    <row r="11" spans="1:5" x14ac:dyDescent="0.25">
      <c r="A11" s="1">
        <v>1</v>
      </c>
      <c r="B11" s="1">
        <v>10</v>
      </c>
      <c r="C11" s="1">
        <v>30</v>
      </c>
      <c r="D11" s="1">
        <v>1</v>
      </c>
      <c r="E11" s="2">
        <v>46172</v>
      </c>
    </row>
    <row r="12" spans="1:5" x14ac:dyDescent="0.25">
      <c r="A12" s="1">
        <v>1</v>
      </c>
      <c r="B12" s="1">
        <v>11</v>
      </c>
      <c r="C12" s="1">
        <v>30</v>
      </c>
      <c r="D12" s="1">
        <v>1</v>
      </c>
      <c r="E12" s="2">
        <v>46173</v>
      </c>
    </row>
    <row r="13" spans="1:5" x14ac:dyDescent="0.25">
      <c r="A13" s="1">
        <v>1</v>
      </c>
      <c r="B13" s="1">
        <v>12</v>
      </c>
      <c r="C13" s="1">
        <v>30</v>
      </c>
      <c r="D13" s="1">
        <v>1</v>
      </c>
      <c r="E13" s="2">
        <v>46174</v>
      </c>
    </row>
    <row r="14" spans="1:5" x14ac:dyDescent="0.25">
      <c r="A14" s="1">
        <v>1</v>
      </c>
      <c r="B14" s="1">
        <v>13</v>
      </c>
      <c r="C14" s="1">
        <v>30</v>
      </c>
      <c r="D14" s="1">
        <v>1</v>
      </c>
      <c r="E14" s="2">
        <v>46175</v>
      </c>
    </row>
    <row r="15" spans="1:5" x14ac:dyDescent="0.25">
      <c r="A15" s="1">
        <v>1</v>
      </c>
      <c r="B15">
        <v>14</v>
      </c>
      <c r="C15" s="1">
        <v>30</v>
      </c>
      <c r="D15" s="1">
        <v>1</v>
      </c>
      <c r="E15" s="2">
        <v>46176</v>
      </c>
    </row>
    <row r="16" spans="1:5" x14ac:dyDescent="0.25">
      <c r="A16" s="1">
        <v>1</v>
      </c>
      <c r="B16">
        <v>15</v>
      </c>
      <c r="C16" s="1">
        <v>30</v>
      </c>
      <c r="D16" s="1">
        <v>1</v>
      </c>
      <c r="E16" s="2">
        <v>46177</v>
      </c>
    </row>
    <row r="17" spans="1:5" x14ac:dyDescent="0.25">
      <c r="A17" s="1">
        <v>1</v>
      </c>
      <c r="B17">
        <v>16</v>
      </c>
      <c r="C17" s="1">
        <v>30</v>
      </c>
      <c r="D17" s="1">
        <v>1</v>
      </c>
      <c r="E17" s="2">
        <v>46178</v>
      </c>
    </row>
    <row r="18" spans="1:5" x14ac:dyDescent="0.25">
      <c r="A18" s="1">
        <v>1</v>
      </c>
      <c r="B18">
        <v>17</v>
      </c>
      <c r="C18" s="1">
        <v>30</v>
      </c>
      <c r="D18" s="1">
        <v>1</v>
      </c>
      <c r="E18" s="2">
        <v>46179</v>
      </c>
    </row>
    <row r="19" spans="1:5" x14ac:dyDescent="0.25">
      <c r="A19" s="1">
        <v>1</v>
      </c>
      <c r="B19">
        <v>18</v>
      </c>
      <c r="C19" s="1">
        <v>30</v>
      </c>
      <c r="D19" s="1">
        <v>1</v>
      </c>
      <c r="E19" s="2">
        <v>46180</v>
      </c>
    </row>
    <row r="20" spans="1:5" x14ac:dyDescent="0.25">
      <c r="A20" s="1">
        <v>1</v>
      </c>
      <c r="B20">
        <v>19</v>
      </c>
      <c r="C20" s="1">
        <v>30</v>
      </c>
      <c r="D20" s="1">
        <v>1</v>
      </c>
      <c r="E20" s="2">
        <v>46181</v>
      </c>
    </row>
    <row r="21" spans="1:5" x14ac:dyDescent="0.25">
      <c r="A21" s="1">
        <v>0</v>
      </c>
      <c r="B21">
        <v>20</v>
      </c>
      <c r="C21" s="1">
        <v>30</v>
      </c>
      <c r="D21" s="1">
        <v>1</v>
      </c>
      <c r="E21" s="2">
        <v>46182</v>
      </c>
    </row>
    <row r="22" spans="1:5" x14ac:dyDescent="0.25">
      <c r="A22" s="1">
        <v>0</v>
      </c>
      <c r="B22">
        <v>21</v>
      </c>
      <c r="C22" s="1">
        <v>30</v>
      </c>
      <c r="D22" s="1">
        <v>1</v>
      </c>
      <c r="E22" s="2">
        <v>46183</v>
      </c>
    </row>
    <row r="23" spans="1:5" x14ac:dyDescent="0.25">
      <c r="A23" s="1">
        <v>0</v>
      </c>
      <c r="B23">
        <v>22</v>
      </c>
      <c r="C23" s="1">
        <v>30</v>
      </c>
      <c r="D23" s="1">
        <v>1</v>
      </c>
      <c r="E23" s="2">
        <v>46184</v>
      </c>
    </row>
    <row r="24" spans="1:5" x14ac:dyDescent="0.25">
      <c r="A24" s="1">
        <v>0</v>
      </c>
      <c r="B24">
        <v>23</v>
      </c>
      <c r="C24" s="1">
        <v>30</v>
      </c>
      <c r="D24" s="1">
        <v>1</v>
      </c>
      <c r="E24" s="2">
        <v>46185</v>
      </c>
    </row>
    <row r="25" spans="1:5" x14ac:dyDescent="0.25">
      <c r="A25" s="1">
        <v>0</v>
      </c>
      <c r="B25">
        <v>24</v>
      </c>
      <c r="C25" s="1">
        <v>30</v>
      </c>
      <c r="D25" s="1">
        <v>1</v>
      </c>
      <c r="E25" s="2">
        <v>46186</v>
      </c>
    </row>
    <row r="26" spans="1:5" x14ac:dyDescent="0.25">
      <c r="A26" s="1">
        <v>0</v>
      </c>
      <c r="B26">
        <v>25</v>
      </c>
      <c r="C26" s="1">
        <v>30</v>
      </c>
      <c r="D26" s="1">
        <v>1</v>
      </c>
      <c r="E26" s="2">
        <v>46187</v>
      </c>
    </row>
    <row r="27" spans="1:5" x14ac:dyDescent="0.25">
      <c r="A27" s="1">
        <v>0</v>
      </c>
      <c r="B27">
        <v>26</v>
      </c>
      <c r="C27" s="1">
        <v>30</v>
      </c>
      <c r="D27" s="1">
        <v>1</v>
      </c>
      <c r="E27" s="2">
        <v>46188</v>
      </c>
    </row>
    <row r="28" spans="1:5" x14ac:dyDescent="0.25">
      <c r="A28" s="1">
        <v>0</v>
      </c>
      <c r="B28">
        <v>27</v>
      </c>
      <c r="C28" s="1">
        <v>30</v>
      </c>
      <c r="D28" s="1">
        <v>1</v>
      </c>
      <c r="E28" s="2">
        <v>46189</v>
      </c>
    </row>
    <row r="29" spans="1:5" x14ac:dyDescent="0.25">
      <c r="A29" s="1">
        <v>0</v>
      </c>
      <c r="B29">
        <v>28</v>
      </c>
      <c r="C29" s="1">
        <v>30</v>
      </c>
      <c r="D29" s="1">
        <v>1</v>
      </c>
      <c r="E29" s="2">
        <v>46190</v>
      </c>
    </row>
    <row r="30" spans="1:5" x14ac:dyDescent="0.25">
      <c r="A30" s="1">
        <v>0</v>
      </c>
      <c r="B30">
        <v>29</v>
      </c>
      <c r="C30" s="1">
        <v>30</v>
      </c>
      <c r="D30" s="1">
        <v>1</v>
      </c>
      <c r="E30" s="2">
        <v>46191</v>
      </c>
    </row>
    <row r="31" spans="1:5" x14ac:dyDescent="0.25">
      <c r="A31" s="1"/>
    </row>
    <row r="32" spans="1:5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E84"/>
  <sheetViews>
    <sheetView topLeftCell="A67" workbookViewId="0">
      <selection activeCell="H82" sqref="H82"/>
    </sheetView>
  </sheetViews>
  <sheetFormatPr baseColWidth="10" defaultRowHeight="15" x14ac:dyDescent="0.25"/>
  <cols>
    <col min="1" max="1" width="5.140625" style="1" customWidth="1"/>
    <col min="2" max="2" width="4.7109375" style="1" customWidth="1"/>
    <col min="3" max="3" width="3.28515625" customWidth="1"/>
    <col min="4" max="4" width="6" style="1" customWidth="1"/>
    <col min="5" max="5" width="7" style="1" customWidth="1"/>
    <col min="6" max="6" width="11.85546875" customWidth="1"/>
  </cols>
  <sheetData>
    <row r="1" spans="1:5" x14ac:dyDescent="0.25">
      <c r="A1" t="s">
        <v>0</v>
      </c>
      <c r="B1" t="s">
        <v>253</v>
      </c>
      <c r="C1" t="s">
        <v>256</v>
      </c>
      <c r="D1" t="s">
        <v>254</v>
      </c>
      <c r="E1" t="s">
        <v>255</v>
      </c>
    </row>
    <row r="2" spans="1:5" x14ac:dyDescent="0.25">
      <c r="A2" s="1">
        <v>1</v>
      </c>
      <c r="B2" s="1">
        <v>1</v>
      </c>
      <c r="C2" s="1">
        <v>1</v>
      </c>
      <c r="D2" s="1">
        <v>9</v>
      </c>
      <c r="E2" s="1">
        <v>9</v>
      </c>
    </row>
    <row r="3" spans="1:5" x14ac:dyDescent="0.25">
      <c r="A3" s="1">
        <v>1</v>
      </c>
      <c r="B3" s="1">
        <v>2</v>
      </c>
      <c r="C3" s="1">
        <v>1</v>
      </c>
      <c r="D3" s="1">
        <v>21</v>
      </c>
      <c r="E3" s="1">
        <v>8</v>
      </c>
    </row>
    <row r="4" spans="1:5" x14ac:dyDescent="0.25">
      <c r="A4" s="1">
        <v>1</v>
      </c>
      <c r="B4" s="1">
        <v>3</v>
      </c>
      <c r="C4" s="1">
        <v>1</v>
      </c>
      <c r="D4" s="1">
        <v>18</v>
      </c>
      <c r="E4" s="1">
        <v>7</v>
      </c>
    </row>
    <row r="5" spans="1:5" x14ac:dyDescent="0.25">
      <c r="A5" s="1">
        <v>1</v>
      </c>
      <c r="B5" s="1">
        <v>4</v>
      </c>
      <c r="C5" s="1">
        <v>1</v>
      </c>
      <c r="D5" s="1">
        <v>15</v>
      </c>
      <c r="E5" s="1">
        <v>14</v>
      </c>
    </row>
    <row r="6" spans="1:5" x14ac:dyDescent="0.25">
      <c r="A6" s="1">
        <v>1</v>
      </c>
      <c r="B6" s="1">
        <v>5</v>
      </c>
      <c r="C6" s="1">
        <v>1</v>
      </c>
      <c r="D6" s="1">
        <v>24</v>
      </c>
      <c r="E6" s="1">
        <v>8</v>
      </c>
    </row>
    <row r="7" spans="1:5" x14ac:dyDescent="0.25">
      <c r="A7" s="1">
        <v>1</v>
      </c>
      <c r="B7" s="1">
        <v>6</v>
      </c>
      <c r="C7" s="1">
        <v>1</v>
      </c>
      <c r="D7" s="1">
        <v>12</v>
      </c>
      <c r="E7" s="1">
        <v>11</v>
      </c>
    </row>
    <row r="8" spans="1:5" x14ac:dyDescent="0.25">
      <c r="A8" s="1">
        <v>1</v>
      </c>
      <c r="B8" s="1">
        <v>7</v>
      </c>
      <c r="C8" s="1">
        <v>1</v>
      </c>
      <c r="D8" s="1">
        <v>13</v>
      </c>
      <c r="E8" s="1">
        <v>2</v>
      </c>
    </row>
    <row r="9" spans="1:5" x14ac:dyDescent="0.25">
      <c r="A9" s="1">
        <v>1</v>
      </c>
      <c r="B9" s="1">
        <v>8</v>
      </c>
      <c r="C9" s="1">
        <v>1</v>
      </c>
      <c r="D9" s="1">
        <v>25</v>
      </c>
      <c r="E9" s="1">
        <v>2</v>
      </c>
    </row>
    <row r="10" spans="1:5" x14ac:dyDescent="0.25">
      <c r="A10" s="1">
        <v>1</v>
      </c>
      <c r="B10" s="1">
        <v>9</v>
      </c>
      <c r="C10" s="1">
        <v>2</v>
      </c>
      <c r="D10" s="1">
        <v>9</v>
      </c>
      <c r="E10" s="1">
        <v>29</v>
      </c>
    </row>
    <row r="11" spans="1:5" x14ac:dyDescent="0.25">
      <c r="A11" s="1">
        <v>1</v>
      </c>
      <c r="B11" s="1">
        <v>10</v>
      </c>
      <c r="C11" s="1">
        <v>2</v>
      </c>
      <c r="D11" s="1">
        <v>12</v>
      </c>
      <c r="E11" s="1">
        <v>19</v>
      </c>
    </row>
    <row r="12" spans="1:5" x14ac:dyDescent="0.25">
      <c r="A12" s="1">
        <v>1</v>
      </c>
      <c r="B12" s="1">
        <v>11</v>
      </c>
      <c r="C12" s="1">
        <v>2</v>
      </c>
      <c r="D12" s="1">
        <v>15</v>
      </c>
      <c r="E12" s="1">
        <v>25</v>
      </c>
    </row>
    <row r="13" spans="1:5" x14ac:dyDescent="0.25">
      <c r="A13" s="1">
        <v>1</v>
      </c>
      <c r="B13" s="1">
        <v>12</v>
      </c>
      <c r="C13" s="1">
        <v>2</v>
      </c>
      <c r="D13" s="1">
        <v>18</v>
      </c>
      <c r="E13" s="1">
        <v>45</v>
      </c>
    </row>
    <row r="14" spans="1:5" x14ac:dyDescent="0.25">
      <c r="A14" s="1">
        <v>1</v>
      </c>
      <c r="B14" s="1">
        <v>13</v>
      </c>
      <c r="C14" s="1">
        <v>2</v>
      </c>
      <c r="D14" s="1">
        <v>21</v>
      </c>
      <c r="E14" s="1">
        <v>27</v>
      </c>
    </row>
    <row r="15" spans="1:5" x14ac:dyDescent="0.25">
      <c r="A15" s="1">
        <v>1</v>
      </c>
      <c r="B15" s="1">
        <v>14</v>
      </c>
      <c r="C15" s="1">
        <v>2</v>
      </c>
      <c r="D15" s="1">
        <v>24</v>
      </c>
      <c r="E15" s="1">
        <v>32</v>
      </c>
    </row>
    <row r="16" spans="1:5" x14ac:dyDescent="0.25">
      <c r="A16" s="1">
        <v>1</v>
      </c>
      <c r="B16" s="1">
        <v>15</v>
      </c>
      <c r="C16" s="1">
        <v>2</v>
      </c>
      <c r="D16" s="1">
        <v>10</v>
      </c>
      <c r="E16" s="1">
        <v>8</v>
      </c>
    </row>
    <row r="17" spans="1:5" x14ac:dyDescent="0.25">
      <c r="A17" s="1">
        <v>1</v>
      </c>
      <c r="B17" s="1">
        <v>16</v>
      </c>
      <c r="C17" s="1">
        <v>2</v>
      </c>
      <c r="D17" s="1">
        <v>13</v>
      </c>
      <c r="E17" s="1">
        <v>3</v>
      </c>
    </row>
    <row r="18" spans="1:5" x14ac:dyDescent="0.25">
      <c r="A18" s="1">
        <v>1</v>
      </c>
      <c r="B18" s="1">
        <v>17</v>
      </c>
      <c r="C18" s="1">
        <v>2</v>
      </c>
      <c r="D18" s="1">
        <v>16</v>
      </c>
      <c r="E18" s="1">
        <v>2</v>
      </c>
    </row>
    <row r="19" spans="1:5" x14ac:dyDescent="0.25">
      <c r="A19" s="1">
        <v>1</v>
      </c>
      <c r="B19" s="1">
        <v>18</v>
      </c>
      <c r="C19" s="1">
        <v>2</v>
      </c>
      <c r="D19" s="1">
        <v>19</v>
      </c>
      <c r="E19" s="1">
        <v>3</v>
      </c>
    </row>
    <row r="20" spans="1:5" x14ac:dyDescent="0.25">
      <c r="A20" s="1">
        <v>1</v>
      </c>
      <c r="B20" s="1">
        <v>19</v>
      </c>
      <c r="C20" s="1">
        <v>2</v>
      </c>
      <c r="D20" s="1">
        <v>22</v>
      </c>
      <c r="E20" s="1">
        <v>1</v>
      </c>
    </row>
    <row r="21" spans="1:5" x14ac:dyDescent="0.25">
      <c r="A21" s="1">
        <v>1</v>
      </c>
      <c r="B21" s="1">
        <v>20</v>
      </c>
      <c r="C21" s="1">
        <v>3</v>
      </c>
      <c r="D21" s="1">
        <v>13</v>
      </c>
      <c r="E21" s="1">
        <v>1</v>
      </c>
    </row>
    <row r="22" spans="1:5" x14ac:dyDescent="0.25">
      <c r="A22" s="1">
        <v>1</v>
      </c>
      <c r="B22" s="1">
        <v>21</v>
      </c>
      <c r="C22" s="1">
        <v>3</v>
      </c>
      <c r="D22" s="1">
        <v>22</v>
      </c>
      <c r="E22" s="1">
        <v>2</v>
      </c>
    </row>
    <row r="23" spans="1:5" x14ac:dyDescent="0.25">
      <c r="A23" s="1">
        <v>1</v>
      </c>
      <c r="B23" s="1">
        <v>22</v>
      </c>
      <c r="C23" s="1">
        <v>4</v>
      </c>
      <c r="D23" s="1">
        <v>19</v>
      </c>
      <c r="E23" s="1">
        <v>2</v>
      </c>
    </row>
    <row r="24" spans="1:5" x14ac:dyDescent="0.25">
      <c r="A24" s="1">
        <v>1</v>
      </c>
      <c r="B24" s="1">
        <v>23</v>
      </c>
      <c r="C24" s="1">
        <v>4</v>
      </c>
      <c r="D24" s="1">
        <v>25</v>
      </c>
      <c r="E24" s="1">
        <v>1</v>
      </c>
    </row>
    <row r="25" spans="1:5" x14ac:dyDescent="0.25">
      <c r="A25" s="1">
        <v>1</v>
      </c>
      <c r="B25" s="1">
        <v>24</v>
      </c>
      <c r="C25" s="1">
        <v>5</v>
      </c>
      <c r="D25" s="1">
        <v>13</v>
      </c>
      <c r="E25" s="1">
        <v>1</v>
      </c>
    </row>
    <row r="26" spans="1:5" x14ac:dyDescent="0.25">
      <c r="A26" s="1">
        <v>1</v>
      </c>
      <c r="B26" s="1">
        <v>25</v>
      </c>
      <c r="C26" s="1">
        <v>5</v>
      </c>
      <c r="D26" s="1">
        <v>25</v>
      </c>
      <c r="E26" s="1">
        <v>1</v>
      </c>
    </row>
    <row r="27" spans="1:5" x14ac:dyDescent="0.25">
      <c r="A27" s="1">
        <v>1</v>
      </c>
      <c r="B27" s="1">
        <v>26</v>
      </c>
      <c r="C27" s="1">
        <v>6</v>
      </c>
      <c r="D27" s="1">
        <v>16</v>
      </c>
      <c r="E27" s="1">
        <v>1</v>
      </c>
    </row>
    <row r="28" spans="1:5" x14ac:dyDescent="0.25">
      <c r="A28" s="1">
        <v>1</v>
      </c>
      <c r="B28" s="1">
        <v>27</v>
      </c>
      <c r="C28" s="1">
        <v>6</v>
      </c>
      <c r="D28" s="1">
        <v>19</v>
      </c>
      <c r="E28" s="1">
        <v>1</v>
      </c>
    </row>
    <row r="29" spans="1:5" x14ac:dyDescent="0.25">
      <c r="A29" s="1">
        <v>1</v>
      </c>
      <c r="B29" s="1">
        <v>28</v>
      </c>
      <c r="C29" s="1">
        <v>7</v>
      </c>
      <c r="D29" s="1">
        <v>10</v>
      </c>
      <c r="E29" s="1">
        <v>1</v>
      </c>
    </row>
    <row r="30" spans="1:5" x14ac:dyDescent="0.25">
      <c r="A30" s="1">
        <v>1</v>
      </c>
      <c r="B30" s="1">
        <v>29</v>
      </c>
      <c r="C30" s="1">
        <v>7</v>
      </c>
      <c r="D30" s="1">
        <v>13</v>
      </c>
      <c r="E30" s="1">
        <v>1</v>
      </c>
    </row>
    <row r="31" spans="1:5" x14ac:dyDescent="0.25">
      <c r="A31" s="1">
        <v>1</v>
      </c>
      <c r="B31" s="1">
        <v>30</v>
      </c>
      <c r="C31" s="1">
        <v>7</v>
      </c>
      <c r="D31" s="1">
        <v>16</v>
      </c>
      <c r="E31" s="1">
        <v>1</v>
      </c>
    </row>
    <row r="32" spans="1:5" x14ac:dyDescent="0.25">
      <c r="A32" s="1">
        <v>1</v>
      </c>
      <c r="B32" s="1">
        <v>31</v>
      </c>
      <c r="C32" s="1">
        <v>8</v>
      </c>
      <c r="D32" s="1">
        <v>10</v>
      </c>
      <c r="E32" s="1">
        <v>1</v>
      </c>
    </row>
    <row r="33" spans="1:5" x14ac:dyDescent="0.25">
      <c r="A33" s="1">
        <v>1</v>
      </c>
      <c r="B33" s="1">
        <v>32</v>
      </c>
      <c r="C33" s="1">
        <v>8</v>
      </c>
      <c r="D33" s="1">
        <v>19</v>
      </c>
      <c r="E33" s="1">
        <v>1</v>
      </c>
    </row>
    <row r="34" spans="1:5" x14ac:dyDescent="0.25">
      <c r="A34" s="1">
        <v>1</v>
      </c>
      <c r="B34" s="1">
        <v>33</v>
      </c>
      <c r="C34" s="1">
        <v>8</v>
      </c>
      <c r="D34" s="1">
        <v>22</v>
      </c>
      <c r="E34" s="1">
        <v>1</v>
      </c>
    </row>
    <row r="35" spans="1:5" x14ac:dyDescent="0.25">
      <c r="A35" s="1">
        <v>1</v>
      </c>
      <c r="B35" s="1">
        <v>34</v>
      </c>
      <c r="C35" s="1">
        <v>9</v>
      </c>
      <c r="D35" s="1">
        <v>13</v>
      </c>
      <c r="E35" s="1">
        <v>2</v>
      </c>
    </row>
    <row r="36" spans="1:5" x14ac:dyDescent="0.25">
      <c r="A36" s="1">
        <v>1</v>
      </c>
      <c r="B36" s="1">
        <v>35</v>
      </c>
      <c r="C36" s="1">
        <v>10</v>
      </c>
      <c r="D36" s="1">
        <v>19</v>
      </c>
      <c r="E36" s="1">
        <v>1</v>
      </c>
    </row>
    <row r="37" spans="1:5" x14ac:dyDescent="0.25">
      <c r="A37" s="1">
        <v>1</v>
      </c>
      <c r="B37" s="1">
        <v>36</v>
      </c>
      <c r="C37" s="1">
        <v>10</v>
      </c>
      <c r="D37" s="1">
        <v>22</v>
      </c>
      <c r="E37" s="1">
        <v>1</v>
      </c>
    </row>
    <row r="38" spans="1:5" x14ac:dyDescent="0.25">
      <c r="A38" s="1">
        <v>1</v>
      </c>
      <c r="B38" s="1">
        <v>37</v>
      </c>
      <c r="C38" s="1">
        <v>10</v>
      </c>
      <c r="D38" s="1">
        <v>25</v>
      </c>
      <c r="E38" s="1">
        <v>1</v>
      </c>
    </row>
    <row r="39" spans="1:5" x14ac:dyDescent="0.25">
      <c r="A39" s="1">
        <v>1</v>
      </c>
      <c r="B39" s="1">
        <v>38</v>
      </c>
      <c r="C39" s="1">
        <v>11</v>
      </c>
      <c r="D39" s="1">
        <v>13</v>
      </c>
      <c r="E39" s="1">
        <v>1</v>
      </c>
    </row>
    <row r="40" spans="1:5" x14ac:dyDescent="0.25">
      <c r="A40" s="1">
        <v>1</v>
      </c>
      <c r="B40" s="1">
        <v>39</v>
      </c>
      <c r="C40" s="1">
        <v>11</v>
      </c>
      <c r="D40" s="1">
        <v>16</v>
      </c>
      <c r="E40" s="1">
        <v>1</v>
      </c>
    </row>
    <row r="41" spans="1:5" x14ac:dyDescent="0.25">
      <c r="A41" s="1">
        <v>1</v>
      </c>
      <c r="B41" s="1">
        <v>40</v>
      </c>
      <c r="C41" s="1">
        <v>11</v>
      </c>
      <c r="D41" s="1">
        <v>19</v>
      </c>
      <c r="E41" s="1">
        <v>1</v>
      </c>
    </row>
    <row r="42" spans="1:5" x14ac:dyDescent="0.25">
      <c r="A42" s="1">
        <v>1</v>
      </c>
      <c r="B42" s="1">
        <v>41</v>
      </c>
      <c r="C42" s="1">
        <v>12</v>
      </c>
      <c r="D42" s="1">
        <v>13</v>
      </c>
      <c r="E42" s="1">
        <v>1</v>
      </c>
    </row>
    <row r="43" spans="1:5" x14ac:dyDescent="0.25">
      <c r="A43" s="1">
        <v>1</v>
      </c>
      <c r="B43" s="1">
        <v>42</v>
      </c>
      <c r="C43" s="1">
        <v>12</v>
      </c>
      <c r="D43" s="1">
        <v>19</v>
      </c>
      <c r="E43" s="1">
        <v>1</v>
      </c>
    </row>
    <row r="44" spans="1:5" x14ac:dyDescent="0.25">
      <c r="A44" s="1">
        <v>1</v>
      </c>
      <c r="B44" s="1">
        <v>43</v>
      </c>
      <c r="C44" s="1">
        <v>13</v>
      </c>
      <c r="D44" s="1">
        <v>10</v>
      </c>
      <c r="E44" s="1">
        <v>1</v>
      </c>
    </row>
    <row r="45" spans="1:5" x14ac:dyDescent="0.25">
      <c r="A45" s="1">
        <v>1</v>
      </c>
      <c r="B45" s="1">
        <v>44</v>
      </c>
      <c r="C45" s="1">
        <v>13</v>
      </c>
      <c r="D45" s="1">
        <v>19</v>
      </c>
      <c r="E45" s="1">
        <v>1</v>
      </c>
    </row>
    <row r="46" spans="1:5" x14ac:dyDescent="0.25">
      <c r="A46" s="1">
        <v>1</v>
      </c>
      <c r="B46" s="1">
        <v>45</v>
      </c>
      <c r="C46" s="1">
        <v>13</v>
      </c>
      <c r="D46" s="1">
        <v>25</v>
      </c>
      <c r="E46" s="1">
        <v>1</v>
      </c>
    </row>
    <row r="47" spans="1:5" x14ac:dyDescent="0.25">
      <c r="A47" s="1">
        <v>1</v>
      </c>
      <c r="B47" s="1">
        <v>46</v>
      </c>
      <c r="C47" s="1">
        <v>14</v>
      </c>
      <c r="D47" s="1">
        <v>13</v>
      </c>
      <c r="E47" s="1">
        <v>1</v>
      </c>
    </row>
    <row r="48" spans="1:5" x14ac:dyDescent="0.25">
      <c r="A48" s="1">
        <v>1</v>
      </c>
      <c r="B48" s="1">
        <v>47</v>
      </c>
      <c r="C48" s="1">
        <v>14</v>
      </c>
      <c r="D48" s="1">
        <v>19</v>
      </c>
      <c r="E48" s="1">
        <v>1</v>
      </c>
    </row>
    <row r="49" spans="1:5" x14ac:dyDescent="0.25">
      <c r="A49" s="1">
        <v>1</v>
      </c>
      <c r="B49" s="1">
        <v>48</v>
      </c>
      <c r="C49" s="1">
        <v>14</v>
      </c>
      <c r="D49" s="1">
        <v>25</v>
      </c>
      <c r="E49" s="1">
        <v>1</v>
      </c>
    </row>
    <row r="50" spans="1:5" x14ac:dyDescent="0.25">
      <c r="A50" s="1">
        <v>1</v>
      </c>
      <c r="B50" s="1">
        <v>49</v>
      </c>
      <c r="C50" s="1">
        <v>14</v>
      </c>
      <c r="D50" s="1">
        <v>29</v>
      </c>
      <c r="E50" s="1">
        <v>1</v>
      </c>
    </row>
    <row r="51" spans="1:5" x14ac:dyDescent="0.25">
      <c r="A51" s="1">
        <v>1</v>
      </c>
      <c r="B51" s="1">
        <v>50</v>
      </c>
      <c r="C51" s="1">
        <v>15</v>
      </c>
      <c r="D51" s="1">
        <v>10</v>
      </c>
      <c r="E51" s="1">
        <v>1</v>
      </c>
    </row>
    <row r="52" spans="1:5" x14ac:dyDescent="0.25">
      <c r="A52" s="1">
        <v>1</v>
      </c>
      <c r="B52" s="1">
        <v>51</v>
      </c>
      <c r="C52" s="1">
        <v>15</v>
      </c>
      <c r="D52" s="1">
        <v>13</v>
      </c>
      <c r="E52" s="1">
        <v>1</v>
      </c>
    </row>
    <row r="53" spans="1:5" x14ac:dyDescent="0.25">
      <c r="A53" s="1">
        <v>1</v>
      </c>
      <c r="B53" s="1">
        <v>52</v>
      </c>
      <c r="C53" s="1">
        <v>15</v>
      </c>
      <c r="D53" s="1">
        <v>22</v>
      </c>
      <c r="E53" s="1">
        <v>1</v>
      </c>
    </row>
    <row r="54" spans="1:5" x14ac:dyDescent="0.25">
      <c r="A54" s="1">
        <v>1</v>
      </c>
      <c r="B54" s="1">
        <v>53</v>
      </c>
      <c r="C54" s="1">
        <v>16</v>
      </c>
      <c r="D54" s="1">
        <v>10</v>
      </c>
      <c r="E54" s="1">
        <v>1</v>
      </c>
    </row>
    <row r="55" spans="1:5" x14ac:dyDescent="0.25">
      <c r="A55" s="1">
        <v>1</v>
      </c>
      <c r="B55" s="1">
        <v>54</v>
      </c>
      <c r="C55" s="1">
        <v>16</v>
      </c>
      <c r="D55" s="1">
        <v>16</v>
      </c>
      <c r="E55" s="1">
        <v>1</v>
      </c>
    </row>
    <row r="56" spans="1:5" x14ac:dyDescent="0.25">
      <c r="A56" s="1">
        <v>1</v>
      </c>
      <c r="B56" s="1">
        <v>55</v>
      </c>
      <c r="C56" s="1">
        <v>17</v>
      </c>
      <c r="D56" s="1">
        <v>16</v>
      </c>
      <c r="E56" s="1">
        <v>2</v>
      </c>
    </row>
    <row r="57" spans="1:5" x14ac:dyDescent="0.25">
      <c r="A57" s="1">
        <v>1</v>
      </c>
      <c r="B57" s="1">
        <v>56</v>
      </c>
      <c r="C57">
        <v>17</v>
      </c>
      <c r="D57" s="1">
        <v>25</v>
      </c>
      <c r="E57" s="1">
        <v>1</v>
      </c>
    </row>
    <row r="58" spans="1:5" x14ac:dyDescent="0.25">
      <c r="A58" s="1">
        <v>1</v>
      </c>
      <c r="B58" s="1">
        <v>57</v>
      </c>
      <c r="C58">
        <v>18</v>
      </c>
      <c r="D58" s="1">
        <v>22</v>
      </c>
      <c r="E58" s="1">
        <v>1</v>
      </c>
    </row>
    <row r="59" spans="1:5" x14ac:dyDescent="0.25">
      <c r="A59" s="1">
        <v>1</v>
      </c>
      <c r="B59" s="1">
        <v>58</v>
      </c>
      <c r="C59">
        <v>18</v>
      </c>
      <c r="D59" s="1">
        <v>16</v>
      </c>
      <c r="E59" s="1">
        <v>1</v>
      </c>
    </row>
    <row r="60" spans="1:5" x14ac:dyDescent="0.25">
      <c r="A60" s="1">
        <v>1</v>
      </c>
      <c r="B60" s="1">
        <v>59</v>
      </c>
      <c r="C60">
        <v>19</v>
      </c>
      <c r="D60" s="1">
        <v>25</v>
      </c>
      <c r="E60" s="1">
        <v>2</v>
      </c>
    </row>
    <row r="61" spans="1:5" x14ac:dyDescent="0.25">
      <c r="A61" s="1">
        <v>1</v>
      </c>
      <c r="B61" s="1">
        <v>60</v>
      </c>
      <c r="C61">
        <v>19</v>
      </c>
      <c r="D61" s="1">
        <v>22</v>
      </c>
      <c r="E61" s="1">
        <v>1</v>
      </c>
    </row>
    <row r="62" spans="1:5" x14ac:dyDescent="0.25">
      <c r="A62" s="1">
        <v>0</v>
      </c>
      <c r="B62" s="1">
        <v>61</v>
      </c>
      <c r="C62">
        <v>20</v>
      </c>
      <c r="D62" s="1">
        <v>16</v>
      </c>
      <c r="E62" s="1">
        <v>1</v>
      </c>
    </row>
    <row r="63" spans="1:5" x14ac:dyDescent="0.25">
      <c r="A63" s="1">
        <v>0</v>
      </c>
      <c r="B63" s="1">
        <v>62</v>
      </c>
      <c r="C63">
        <v>20</v>
      </c>
      <c r="D63" s="1">
        <v>22</v>
      </c>
      <c r="E63" s="1">
        <v>1</v>
      </c>
    </row>
    <row r="64" spans="1:5" x14ac:dyDescent="0.25">
      <c r="A64" s="1">
        <v>0</v>
      </c>
      <c r="B64" s="1">
        <v>63</v>
      </c>
      <c r="C64">
        <v>21</v>
      </c>
      <c r="D64" s="1">
        <v>13</v>
      </c>
      <c r="E64" s="1">
        <v>1</v>
      </c>
    </row>
    <row r="65" spans="1:5" x14ac:dyDescent="0.25">
      <c r="A65" s="1">
        <v>0</v>
      </c>
      <c r="B65" s="1">
        <v>64</v>
      </c>
      <c r="C65">
        <v>21</v>
      </c>
      <c r="D65" s="1">
        <v>19</v>
      </c>
      <c r="E65" s="1">
        <v>1</v>
      </c>
    </row>
    <row r="66" spans="1:5" x14ac:dyDescent="0.25">
      <c r="A66" s="1">
        <v>0</v>
      </c>
      <c r="B66" s="1">
        <v>65</v>
      </c>
      <c r="C66">
        <v>22</v>
      </c>
      <c r="D66" s="1">
        <v>16</v>
      </c>
      <c r="E66" s="1">
        <v>1</v>
      </c>
    </row>
    <row r="67" spans="1:5" x14ac:dyDescent="0.25">
      <c r="A67" s="1">
        <v>0</v>
      </c>
      <c r="B67" s="1">
        <v>66</v>
      </c>
      <c r="C67">
        <v>22</v>
      </c>
      <c r="D67" s="1">
        <v>22</v>
      </c>
      <c r="E67" s="1">
        <v>1</v>
      </c>
    </row>
    <row r="68" spans="1:5" x14ac:dyDescent="0.25">
      <c r="A68" s="1">
        <v>0</v>
      </c>
      <c r="B68" s="1">
        <v>67</v>
      </c>
      <c r="C68">
        <v>23</v>
      </c>
      <c r="D68" s="1">
        <v>22</v>
      </c>
      <c r="E68" s="1">
        <v>2</v>
      </c>
    </row>
    <row r="69" spans="1:5" x14ac:dyDescent="0.25">
      <c r="A69" s="1">
        <v>0</v>
      </c>
      <c r="B69" s="1">
        <v>68</v>
      </c>
      <c r="C69">
        <v>24</v>
      </c>
      <c r="D69" s="1">
        <v>22</v>
      </c>
      <c r="E69" s="1">
        <v>1</v>
      </c>
    </row>
    <row r="70" spans="1:5" x14ac:dyDescent="0.25">
      <c r="A70" s="1">
        <v>0</v>
      </c>
      <c r="B70" s="1">
        <v>69</v>
      </c>
      <c r="C70">
        <v>24</v>
      </c>
      <c r="D70" s="1">
        <v>16</v>
      </c>
      <c r="E70" s="1">
        <v>1</v>
      </c>
    </row>
    <row r="71" spans="1:5" x14ac:dyDescent="0.25">
      <c r="A71" s="1">
        <v>0</v>
      </c>
      <c r="B71" s="1">
        <v>70</v>
      </c>
      <c r="C71">
        <v>24</v>
      </c>
      <c r="D71" s="1">
        <v>10</v>
      </c>
      <c r="E71" s="1">
        <v>1</v>
      </c>
    </row>
    <row r="72" spans="1:5" x14ac:dyDescent="0.25">
      <c r="A72" s="1">
        <v>0</v>
      </c>
      <c r="B72" s="1">
        <v>71</v>
      </c>
      <c r="C72">
        <v>25</v>
      </c>
      <c r="D72" s="1">
        <v>13</v>
      </c>
      <c r="E72" s="1">
        <v>1</v>
      </c>
    </row>
    <row r="73" spans="1:5" x14ac:dyDescent="0.25">
      <c r="A73" s="1">
        <v>0</v>
      </c>
      <c r="B73" s="1">
        <v>72</v>
      </c>
      <c r="C73">
        <v>25</v>
      </c>
      <c r="D73" s="1">
        <v>22</v>
      </c>
      <c r="E73" s="1">
        <v>1</v>
      </c>
    </row>
    <row r="74" spans="1:5" x14ac:dyDescent="0.25">
      <c r="A74" s="1">
        <v>0</v>
      </c>
      <c r="B74" s="1">
        <v>73</v>
      </c>
      <c r="C74">
        <v>26</v>
      </c>
      <c r="D74" s="1">
        <v>13</v>
      </c>
      <c r="E74" s="1">
        <v>1</v>
      </c>
    </row>
    <row r="75" spans="1:5" x14ac:dyDescent="0.25">
      <c r="A75" s="1">
        <v>0</v>
      </c>
      <c r="B75" s="1">
        <v>74</v>
      </c>
      <c r="C75">
        <v>26</v>
      </c>
      <c r="D75" s="1">
        <v>25</v>
      </c>
      <c r="E75" s="1">
        <v>1</v>
      </c>
    </row>
    <row r="76" spans="1:5" x14ac:dyDescent="0.25">
      <c r="A76" s="1">
        <v>0</v>
      </c>
      <c r="B76" s="1">
        <v>75</v>
      </c>
      <c r="C76">
        <v>27</v>
      </c>
      <c r="D76" s="1">
        <v>25</v>
      </c>
      <c r="E76" s="1">
        <v>1</v>
      </c>
    </row>
    <row r="77" spans="1:5" x14ac:dyDescent="0.25">
      <c r="A77" s="1">
        <v>0</v>
      </c>
      <c r="B77" s="1">
        <v>76</v>
      </c>
      <c r="C77">
        <v>27</v>
      </c>
      <c r="D77" s="1">
        <v>16</v>
      </c>
      <c r="E77" s="1">
        <v>1</v>
      </c>
    </row>
    <row r="78" spans="1:5" x14ac:dyDescent="0.25">
      <c r="A78" s="1">
        <v>0</v>
      </c>
      <c r="B78" s="1">
        <v>77</v>
      </c>
      <c r="C78">
        <v>27</v>
      </c>
      <c r="D78" s="1">
        <v>19</v>
      </c>
      <c r="E78" s="1">
        <v>1</v>
      </c>
    </row>
    <row r="79" spans="1:5" x14ac:dyDescent="0.25">
      <c r="A79" s="1">
        <v>0</v>
      </c>
      <c r="B79" s="1">
        <v>78</v>
      </c>
      <c r="C79">
        <v>28</v>
      </c>
      <c r="D79" s="1">
        <v>10</v>
      </c>
      <c r="E79" s="1">
        <v>1</v>
      </c>
    </row>
    <row r="80" spans="1:5" x14ac:dyDescent="0.25">
      <c r="A80" s="1">
        <v>0</v>
      </c>
      <c r="B80" s="1">
        <v>79</v>
      </c>
      <c r="C80">
        <v>28</v>
      </c>
      <c r="D80" s="1">
        <v>13</v>
      </c>
      <c r="E80" s="1">
        <v>1</v>
      </c>
    </row>
    <row r="81" spans="1:5" x14ac:dyDescent="0.25">
      <c r="A81" s="1">
        <v>0</v>
      </c>
      <c r="B81" s="1">
        <v>80</v>
      </c>
      <c r="C81">
        <v>28</v>
      </c>
      <c r="D81" s="1">
        <v>19</v>
      </c>
      <c r="E81" s="1">
        <v>1</v>
      </c>
    </row>
    <row r="82" spans="1:5" x14ac:dyDescent="0.25">
      <c r="A82" s="1">
        <v>0</v>
      </c>
      <c r="B82" s="1">
        <v>81</v>
      </c>
      <c r="C82">
        <v>29</v>
      </c>
      <c r="D82" s="1">
        <v>10</v>
      </c>
      <c r="E82" s="1">
        <v>1</v>
      </c>
    </row>
    <row r="83" spans="1:5" x14ac:dyDescent="0.25">
      <c r="A83" s="1">
        <v>0</v>
      </c>
      <c r="B83" s="1">
        <v>82</v>
      </c>
      <c r="C83">
        <v>29</v>
      </c>
      <c r="D83" s="1">
        <v>13</v>
      </c>
      <c r="E83" s="1">
        <v>1</v>
      </c>
    </row>
    <row r="84" spans="1:5" x14ac:dyDescent="0.25">
      <c r="A84" s="1">
        <v>0</v>
      </c>
      <c r="B84" s="1">
        <v>83</v>
      </c>
      <c r="C84">
        <v>29</v>
      </c>
      <c r="D84" s="1">
        <v>22</v>
      </c>
      <c r="E84" s="1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G16"/>
  <sheetViews>
    <sheetView tabSelected="1" workbookViewId="0">
      <selection activeCell="F1" sqref="F1"/>
    </sheetView>
  </sheetViews>
  <sheetFormatPr baseColWidth="10" defaultRowHeight="15" x14ac:dyDescent="0.25"/>
  <cols>
    <col min="1" max="1" width="3" customWidth="1"/>
    <col min="2" max="2" width="6" customWidth="1"/>
    <col min="3" max="3" width="6.28515625" customWidth="1"/>
    <col min="4" max="4" width="6.7109375" customWidth="1"/>
    <col min="5" max="6" width="6.5703125" customWidth="1"/>
  </cols>
  <sheetData>
    <row r="1" spans="1:7" x14ac:dyDescent="0.25">
      <c r="A1" t="s">
        <v>0</v>
      </c>
      <c r="B1" t="s">
        <v>257</v>
      </c>
      <c r="C1" t="s">
        <v>258</v>
      </c>
      <c r="D1" t="s">
        <v>259</v>
      </c>
      <c r="E1" t="s">
        <v>346</v>
      </c>
      <c r="F1" t="s">
        <v>347</v>
      </c>
      <c r="G1" t="s">
        <v>260</v>
      </c>
    </row>
    <row r="2" spans="1:7" x14ac:dyDescent="0.25">
      <c r="A2" s="1">
        <v>1</v>
      </c>
      <c r="B2" s="1">
        <v>1</v>
      </c>
      <c r="C2" s="1">
        <v>15</v>
      </c>
      <c r="D2" s="1">
        <v>4</v>
      </c>
      <c r="E2" s="1">
        <v>9</v>
      </c>
      <c r="F2" s="1">
        <v>0</v>
      </c>
      <c r="G2" s="2">
        <v>46161</v>
      </c>
    </row>
    <row r="3" spans="1:7" x14ac:dyDescent="0.25">
      <c r="A3" s="1">
        <v>1</v>
      </c>
      <c r="B3" s="1">
        <v>2</v>
      </c>
      <c r="C3" s="1">
        <v>15</v>
      </c>
      <c r="D3" s="1">
        <v>3</v>
      </c>
      <c r="E3" s="1">
        <v>11</v>
      </c>
      <c r="F3" s="1">
        <v>0</v>
      </c>
      <c r="G3" s="2">
        <v>46161</v>
      </c>
    </row>
    <row r="4" spans="1:7" x14ac:dyDescent="0.25">
      <c r="A4" s="1">
        <v>1</v>
      </c>
      <c r="B4" s="1">
        <v>3</v>
      </c>
      <c r="C4" s="1">
        <v>18</v>
      </c>
      <c r="D4" s="1">
        <v>6</v>
      </c>
      <c r="E4" s="1">
        <v>6</v>
      </c>
      <c r="F4" s="1">
        <v>5</v>
      </c>
      <c r="G4" s="2">
        <v>46161</v>
      </c>
    </row>
    <row r="5" spans="1:7" x14ac:dyDescent="0.25">
      <c r="A5" s="1">
        <v>1</v>
      </c>
      <c r="B5" s="1">
        <v>4</v>
      </c>
      <c r="C5" s="1">
        <v>18</v>
      </c>
      <c r="D5" s="1">
        <v>3</v>
      </c>
      <c r="E5" s="1">
        <v>7</v>
      </c>
      <c r="F5" s="1">
        <v>3</v>
      </c>
      <c r="G5" s="2">
        <v>46161</v>
      </c>
    </row>
    <row r="6" spans="1:7" x14ac:dyDescent="0.25">
      <c r="A6" s="1">
        <v>1</v>
      </c>
      <c r="B6" s="1">
        <v>5</v>
      </c>
      <c r="C6" s="1">
        <v>21</v>
      </c>
      <c r="D6" s="1">
        <v>4</v>
      </c>
      <c r="E6" s="1">
        <v>6</v>
      </c>
      <c r="F6" s="1">
        <v>4</v>
      </c>
      <c r="G6" s="2">
        <v>46161</v>
      </c>
    </row>
    <row r="7" spans="1:7" x14ac:dyDescent="0.25">
      <c r="A7" s="1">
        <v>1</v>
      </c>
      <c r="B7" s="1">
        <v>6</v>
      </c>
      <c r="C7" s="1">
        <v>21</v>
      </c>
      <c r="D7" s="1">
        <v>4</v>
      </c>
      <c r="E7" s="1">
        <v>7</v>
      </c>
      <c r="F7" s="1">
        <v>8</v>
      </c>
      <c r="G7" s="2">
        <v>46161</v>
      </c>
    </row>
    <row r="8" spans="1:7" x14ac:dyDescent="0.25">
      <c r="A8" s="1">
        <v>1</v>
      </c>
      <c r="B8" s="1">
        <v>7</v>
      </c>
      <c r="C8" s="1">
        <v>300</v>
      </c>
      <c r="D8" s="1">
        <v>2</v>
      </c>
      <c r="E8" s="1">
        <v>51</v>
      </c>
      <c r="F8" s="1">
        <v>0</v>
      </c>
      <c r="G8" s="2">
        <v>46165</v>
      </c>
    </row>
    <row r="9" spans="1:7" x14ac:dyDescent="0.25">
      <c r="A9" s="1">
        <v>1</v>
      </c>
      <c r="B9" s="1">
        <v>8</v>
      </c>
      <c r="C9" s="1">
        <v>15</v>
      </c>
      <c r="D9" s="1">
        <v>5</v>
      </c>
      <c r="E9" s="1">
        <v>13</v>
      </c>
      <c r="F9" s="1">
        <v>0</v>
      </c>
      <c r="G9" s="2">
        <v>46166</v>
      </c>
    </row>
    <row r="10" spans="1:7" x14ac:dyDescent="0.25">
      <c r="A10" s="1">
        <v>1</v>
      </c>
      <c r="B10" s="1">
        <v>9</v>
      </c>
      <c r="C10" s="1">
        <v>24</v>
      </c>
      <c r="D10" s="1">
        <v>2</v>
      </c>
      <c r="E10" s="1">
        <v>13</v>
      </c>
      <c r="F10" s="1">
        <v>4</v>
      </c>
      <c r="G10" s="2">
        <v>46166</v>
      </c>
    </row>
    <row r="11" spans="1:7" x14ac:dyDescent="0.25">
      <c r="A11" s="1"/>
      <c r="B11" s="1"/>
      <c r="C11" s="1"/>
      <c r="D11" s="1"/>
      <c r="E11" s="2"/>
    </row>
    <row r="12" spans="1:7" x14ac:dyDescent="0.25">
      <c r="A12" s="1"/>
      <c r="B12" s="1"/>
      <c r="C12" s="1"/>
      <c r="D12" s="1"/>
      <c r="E12" s="2"/>
    </row>
    <row r="13" spans="1:7" x14ac:dyDescent="0.25">
      <c r="A13" s="1"/>
      <c r="B13" s="1"/>
      <c r="C13" s="1"/>
      <c r="D13" s="1"/>
      <c r="E13" s="2"/>
    </row>
    <row r="14" spans="1:7" x14ac:dyDescent="0.25">
      <c r="A14" s="1"/>
      <c r="B14" s="1"/>
      <c r="C14" s="1"/>
      <c r="D14" s="1"/>
      <c r="E14" s="2"/>
    </row>
    <row r="15" spans="1:7" x14ac:dyDescent="0.25">
      <c r="A15" s="1"/>
      <c r="B15" s="1"/>
      <c r="C15" s="1"/>
      <c r="D15" s="1"/>
      <c r="E15" s="2"/>
    </row>
    <row r="16" spans="1:7" x14ac:dyDescent="0.25">
      <c r="F16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C57"/>
  <sheetViews>
    <sheetView workbookViewId="0">
      <selection activeCell="A2" sqref="A2"/>
    </sheetView>
  </sheetViews>
  <sheetFormatPr baseColWidth="10" defaultRowHeight="15" x14ac:dyDescent="0.25"/>
  <cols>
    <col min="1" max="1" width="6" customWidth="1"/>
    <col min="2" max="2" width="57" customWidth="1"/>
    <col min="3" max="3" width="50.140625" customWidth="1"/>
    <col min="4" max="4" width="47.85546875" customWidth="1"/>
    <col min="5" max="5" width="12" customWidth="1"/>
  </cols>
  <sheetData>
    <row r="1" spans="1:3" x14ac:dyDescent="0.25">
      <c r="A1" t="s">
        <v>216</v>
      </c>
      <c r="B1" t="s">
        <v>217</v>
      </c>
      <c r="C1" t="s">
        <v>218</v>
      </c>
    </row>
    <row r="2" spans="1:3" x14ac:dyDescent="0.25">
      <c r="A2" s="1">
        <v>0</v>
      </c>
      <c r="B2" t="s">
        <v>51</v>
      </c>
      <c r="C2" t="s">
        <v>51</v>
      </c>
    </row>
    <row r="3" spans="1:3" x14ac:dyDescent="0.25">
      <c r="A3" s="1">
        <v>1</v>
      </c>
      <c r="B3" t="s">
        <v>52</v>
      </c>
      <c r="C3" t="s">
        <v>66</v>
      </c>
    </row>
    <row r="4" spans="1:3" x14ac:dyDescent="0.25">
      <c r="A4" s="1">
        <v>2</v>
      </c>
      <c r="B4" t="s">
        <v>53</v>
      </c>
      <c r="C4" t="s">
        <v>66</v>
      </c>
    </row>
    <row r="5" spans="1:3" x14ac:dyDescent="0.25">
      <c r="A5" s="1">
        <v>3</v>
      </c>
      <c r="B5" t="s">
        <v>54</v>
      </c>
      <c r="C5" t="s">
        <v>66</v>
      </c>
    </row>
    <row r="6" spans="1:3" x14ac:dyDescent="0.25">
      <c r="A6" s="1">
        <v>4</v>
      </c>
      <c r="B6" t="s">
        <v>55</v>
      </c>
      <c r="C6" t="s">
        <v>66</v>
      </c>
    </row>
    <row r="7" spans="1:3" x14ac:dyDescent="0.25">
      <c r="A7" s="1">
        <v>5</v>
      </c>
      <c r="B7" t="s">
        <v>118</v>
      </c>
      <c r="C7" t="s">
        <v>66</v>
      </c>
    </row>
    <row r="8" spans="1:3" x14ac:dyDescent="0.25">
      <c r="A8" s="1">
        <v>6</v>
      </c>
      <c r="B8" t="s">
        <v>56</v>
      </c>
      <c r="C8" t="s">
        <v>66</v>
      </c>
    </row>
    <row r="9" spans="1:3" x14ac:dyDescent="0.25">
      <c r="A9" s="1">
        <v>7</v>
      </c>
      <c r="B9" t="s">
        <v>57</v>
      </c>
      <c r="C9" t="s">
        <v>66</v>
      </c>
    </row>
    <row r="10" spans="1:3" x14ac:dyDescent="0.25">
      <c r="A10" s="1">
        <v>8</v>
      </c>
      <c r="B10" t="s">
        <v>119</v>
      </c>
      <c r="C10" t="s">
        <v>66</v>
      </c>
    </row>
    <row r="11" spans="1:3" x14ac:dyDescent="0.25">
      <c r="A11" s="1">
        <v>9</v>
      </c>
      <c r="B11" t="s">
        <v>120</v>
      </c>
      <c r="C11" t="s">
        <v>66</v>
      </c>
    </row>
    <row r="12" spans="1:3" x14ac:dyDescent="0.25">
      <c r="A12" s="1">
        <v>10</v>
      </c>
      <c r="B12" t="s">
        <v>121</v>
      </c>
      <c r="C12" t="s">
        <v>66</v>
      </c>
    </row>
    <row r="13" spans="1:3" x14ac:dyDescent="0.25">
      <c r="A13" s="1">
        <v>11</v>
      </c>
      <c r="B13" t="s">
        <v>122</v>
      </c>
      <c r="C13" t="s">
        <v>66</v>
      </c>
    </row>
    <row r="14" spans="1:3" x14ac:dyDescent="0.25">
      <c r="A14" s="1">
        <v>12</v>
      </c>
      <c r="B14" t="s">
        <v>123</v>
      </c>
      <c r="C14" t="s">
        <v>66</v>
      </c>
    </row>
    <row r="15" spans="1:3" x14ac:dyDescent="0.25">
      <c r="A15" s="1">
        <v>13</v>
      </c>
      <c r="B15" t="s">
        <v>124</v>
      </c>
      <c r="C15" t="s">
        <v>66</v>
      </c>
    </row>
    <row r="16" spans="1:3" x14ac:dyDescent="0.25">
      <c r="A16" s="1">
        <v>14</v>
      </c>
      <c r="B16" t="s">
        <v>125</v>
      </c>
      <c r="C16" t="s">
        <v>66</v>
      </c>
    </row>
    <row r="17" spans="1:3" x14ac:dyDescent="0.25">
      <c r="A17" s="1">
        <v>15</v>
      </c>
      <c r="B17" t="s">
        <v>126</v>
      </c>
      <c r="C17" t="s">
        <v>66</v>
      </c>
    </row>
    <row r="18" spans="1:3" x14ac:dyDescent="0.25">
      <c r="A18" s="1">
        <v>16</v>
      </c>
      <c r="B18" t="s">
        <v>127</v>
      </c>
      <c r="C18" t="s">
        <v>66</v>
      </c>
    </row>
    <row r="19" spans="1:3" x14ac:dyDescent="0.25">
      <c r="A19" s="1">
        <v>17</v>
      </c>
      <c r="B19" t="s">
        <v>128</v>
      </c>
      <c r="C19" t="s">
        <v>66</v>
      </c>
    </row>
    <row r="20" spans="1:3" x14ac:dyDescent="0.25">
      <c r="A20" s="1">
        <v>18</v>
      </c>
      <c r="B20" t="s">
        <v>129</v>
      </c>
      <c r="C20" t="s">
        <v>66</v>
      </c>
    </row>
    <row r="21" spans="1:3" x14ac:dyDescent="0.25">
      <c r="A21" s="1">
        <v>19</v>
      </c>
      <c r="B21" t="s">
        <v>130</v>
      </c>
      <c r="C21" t="s">
        <v>66</v>
      </c>
    </row>
    <row r="22" spans="1:3" x14ac:dyDescent="0.25">
      <c r="A22" s="1">
        <v>20</v>
      </c>
      <c r="B22" t="s">
        <v>58</v>
      </c>
      <c r="C22" t="s">
        <v>66</v>
      </c>
    </row>
    <row r="23" spans="1:3" x14ac:dyDescent="0.25">
      <c r="A23" s="1">
        <v>21</v>
      </c>
      <c r="B23" t="s">
        <v>131</v>
      </c>
      <c r="C23" t="s">
        <v>66</v>
      </c>
    </row>
    <row r="24" spans="1:3" x14ac:dyDescent="0.25">
      <c r="A24" s="1">
        <v>22</v>
      </c>
      <c r="B24" t="s">
        <v>132</v>
      </c>
      <c r="C24" t="s">
        <v>66</v>
      </c>
    </row>
    <row r="25" spans="1:3" x14ac:dyDescent="0.25">
      <c r="A25" s="1">
        <v>23</v>
      </c>
      <c r="B25" t="s">
        <v>133</v>
      </c>
      <c r="C25" t="s">
        <v>66</v>
      </c>
    </row>
    <row r="26" spans="1:3" x14ac:dyDescent="0.25">
      <c r="A26" s="1">
        <v>24</v>
      </c>
      <c r="B26" t="s">
        <v>134</v>
      </c>
      <c r="C26" t="s">
        <v>66</v>
      </c>
    </row>
    <row r="27" spans="1:3" x14ac:dyDescent="0.25">
      <c r="A27" s="1">
        <v>25</v>
      </c>
      <c r="B27" t="s">
        <v>135</v>
      </c>
      <c r="C27" t="s">
        <v>66</v>
      </c>
    </row>
    <row r="28" spans="1:3" x14ac:dyDescent="0.25">
      <c r="A28" s="1">
        <v>26</v>
      </c>
      <c r="B28" t="s">
        <v>136</v>
      </c>
      <c r="C28" t="s">
        <v>66</v>
      </c>
    </row>
    <row r="29" spans="1:3" x14ac:dyDescent="0.25">
      <c r="A29" s="1">
        <v>27</v>
      </c>
      <c r="B29" t="s">
        <v>93</v>
      </c>
      <c r="C29" t="s">
        <v>67</v>
      </c>
    </row>
    <row r="30" spans="1:3" x14ac:dyDescent="0.25">
      <c r="A30" s="1">
        <v>28</v>
      </c>
      <c r="B30" t="s">
        <v>94</v>
      </c>
      <c r="C30" t="s">
        <v>68</v>
      </c>
    </row>
    <row r="31" spans="1:3" x14ac:dyDescent="0.25">
      <c r="A31" s="1">
        <v>29</v>
      </c>
      <c r="B31" t="s">
        <v>59</v>
      </c>
      <c r="C31" t="s">
        <v>69</v>
      </c>
    </row>
    <row r="32" spans="1:3" x14ac:dyDescent="0.25">
      <c r="A32" s="1">
        <v>30</v>
      </c>
      <c r="B32" t="s">
        <v>95</v>
      </c>
      <c r="C32" t="s">
        <v>115</v>
      </c>
    </row>
    <row r="33" spans="1:3" x14ac:dyDescent="0.25">
      <c r="A33" s="1">
        <v>31</v>
      </c>
      <c r="B33" t="s">
        <v>96</v>
      </c>
      <c r="C33" t="s">
        <v>70</v>
      </c>
    </row>
    <row r="34" spans="1:3" x14ac:dyDescent="0.25">
      <c r="A34" s="1">
        <v>32</v>
      </c>
      <c r="B34" t="s">
        <v>97</v>
      </c>
      <c r="C34" t="s">
        <v>71</v>
      </c>
    </row>
    <row r="35" spans="1:3" x14ac:dyDescent="0.25">
      <c r="A35" s="1">
        <v>33</v>
      </c>
      <c r="B35" t="s">
        <v>60</v>
      </c>
      <c r="C35" t="s">
        <v>72</v>
      </c>
    </row>
    <row r="36" spans="1:3" x14ac:dyDescent="0.25">
      <c r="A36" s="1">
        <v>34</v>
      </c>
      <c r="B36" t="s">
        <v>98</v>
      </c>
      <c r="C36" t="s">
        <v>116</v>
      </c>
    </row>
    <row r="37" spans="1:3" x14ac:dyDescent="0.25">
      <c r="A37" s="1">
        <v>35</v>
      </c>
      <c r="B37" t="s">
        <v>99</v>
      </c>
      <c r="C37" t="s">
        <v>117</v>
      </c>
    </row>
    <row r="38" spans="1:3" x14ac:dyDescent="0.25">
      <c r="A38" s="1">
        <v>36</v>
      </c>
      <c r="B38" t="s">
        <v>61</v>
      </c>
      <c r="C38" t="s">
        <v>73</v>
      </c>
    </row>
    <row r="39" spans="1:3" x14ac:dyDescent="0.25">
      <c r="A39" s="1">
        <v>37</v>
      </c>
      <c r="B39" t="s">
        <v>100</v>
      </c>
      <c r="C39" t="s">
        <v>74</v>
      </c>
    </row>
    <row r="40" spans="1:3" x14ac:dyDescent="0.25">
      <c r="A40" s="1">
        <v>38</v>
      </c>
      <c r="B40" t="s">
        <v>101</v>
      </c>
      <c r="C40" t="s">
        <v>75</v>
      </c>
    </row>
    <row r="41" spans="1:3" x14ac:dyDescent="0.25">
      <c r="A41" s="1">
        <v>39</v>
      </c>
      <c r="B41" t="s">
        <v>102</v>
      </c>
      <c r="C41" t="s">
        <v>76</v>
      </c>
    </row>
    <row r="42" spans="1:3" x14ac:dyDescent="0.25">
      <c r="A42" s="1">
        <v>40</v>
      </c>
      <c r="B42" t="s">
        <v>103</v>
      </c>
      <c r="C42" t="s">
        <v>77</v>
      </c>
    </row>
    <row r="43" spans="1:3" x14ac:dyDescent="0.25">
      <c r="A43" s="1">
        <v>41</v>
      </c>
      <c r="B43" t="s">
        <v>104</v>
      </c>
      <c r="C43" t="s">
        <v>78</v>
      </c>
    </row>
    <row r="44" spans="1:3" x14ac:dyDescent="0.25">
      <c r="A44" s="1">
        <v>42</v>
      </c>
      <c r="B44" t="s">
        <v>105</v>
      </c>
      <c r="C44" t="s">
        <v>79</v>
      </c>
    </row>
    <row r="45" spans="1:3" x14ac:dyDescent="0.25">
      <c r="A45" s="1">
        <v>43</v>
      </c>
      <c r="B45" t="s">
        <v>106</v>
      </c>
      <c r="C45" t="s">
        <v>80</v>
      </c>
    </row>
    <row r="46" spans="1:3" x14ac:dyDescent="0.25">
      <c r="A46" s="1">
        <v>44</v>
      </c>
      <c r="B46" t="s">
        <v>107</v>
      </c>
      <c r="C46" t="s">
        <v>81</v>
      </c>
    </row>
    <row r="47" spans="1:3" x14ac:dyDescent="0.25">
      <c r="A47" s="1">
        <v>45</v>
      </c>
      <c r="B47" t="s">
        <v>108</v>
      </c>
      <c r="C47" t="s">
        <v>82</v>
      </c>
    </row>
    <row r="48" spans="1:3" x14ac:dyDescent="0.25">
      <c r="A48" s="1">
        <v>46</v>
      </c>
      <c r="B48" t="s">
        <v>109</v>
      </c>
      <c r="C48" t="s">
        <v>83</v>
      </c>
    </row>
    <row r="49" spans="1:3" x14ac:dyDescent="0.25">
      <c r="A49" s="1">
        <v>47</v>
      </c>
      <c r="B49" t="s">
        <v>110</v>
      </c>
      <c r="C49" t="s">
        <v>84</v>
      </c>
    </row>
    <row r="50" spans="1:3" x14ac:dyDescent="0.25">
      <c r="A50" s="1">
        <v>48</v>
      </c>
      <c r="B50" t="s">
        <v>111</v>
      </c>
      <c r="C50" t="s">
        <v>85</v>
      </c>
    </row>
    <row r="51" spans="1:3" x14ac:dyDescent="0.25">
      <c r="A51" s="1">
        <v>49</v>
      </c>
      <c r="B51" t="s">
        <v>62</v>
      </c>
      <c r="C51" t="s">
        <v>86</v>
      </c>
    </row>
    <row r="52" spans="1:3" x14ac:dyDescent="0.25">
      <c r="A52" s="1">
        <v>50</v>
      </c>
      <c r="B52" t="s">
        <v>63</v>
      </c>
      <c r="C52" t="s">
        <v>87</v>
      </c>
    </row>
    <row r="53" spans="1:3" x14ac:dyDescent="0.25">
      <c r="A53" s="1">
        <v>51</v>
      </c>
      <c r="B53" t="s">
        <v>112</v>
      </c>
      <c r="C53" t="s">
        <v>88</v>
      </c>
    </row>
    <row r="54" spans="1:3" x14ac:dyDescent="0.25">
      <c r="A54" s="1">
        <v>52</v>
      </c>
      <c r="B54" t="s">
        <v>64</v>
      </c>
      <c r="C54" t="s">
        <v>89</v>
      </c>
    </row>
    <row r="55" spans="1:3" x14ac:dyDescent="0.25">
      <c r="A55" s="1">
        <v>53</v>
      </c>
      <c r="B55" t="s">
        <v>65</v>
      </c>
      <c r="C55" t="s">
        <v>90</v>
      </c>
    </row>
    <row r="56" spans="1:3" x14ac:dyDescent="0.25">
      <c r="A56" s="1">
        <v>54</v>
      </c>
      <c r="B56" t="s">
        <v>113</v>
      </c>
      <c r="C56" t="s">
        <v>91</v>
      </c>
    </row>
    <row r="57" spans="1:3" x14ac:dyDescent="0.25">
      <c r="A57" s="1">
        <v>55</v>
      </c>
      <c r="B57" t="s">
        <v>114</v>
      </c>
      <c r="C57" t="s">
        <v>92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E12"/>
  <sheetViews>
    <sheetView workbookViewId="0">
      <selection activeCell="C13" sqref="C13"/>
    </sheetView>
  </sheetViews>
  <sheetFormatPr baseColWidth="10" defaultRowHeight="15" x14ac:dyDescent="0.25"/>
  <cols>
    <col min="1" max="1" width="7.140625" style="1" customWidth="1"/>
    <col min="2" max="4" width="12" style="1" customWidth="1"/>
  </cols>
  <sheetData>
    <row r="1" spans="1:5" x14ac:dyDescent="0.25">
      <c r="A1" t="s">
        <v>0</v>
      </c>
      <c r="B1" t="s">
        <v>261</v>
      </c>
      <c r="C1" t="s">
        <v>262</v>
      </c>
      <c r="D1" t="s">
        <v>263</v>
      </c>
      <c r="E1" t="s">
        <v>264</v>
      </c>
    </row>
    <row r="2" spans="1:5" x14ac:dyDescent="0.25">
      <c r="A2" s="1">
        <v>1</v>
      </c>
      <c r="B2" s="1">
        <v>1</v>
      </c>
      <c r="C2" s="1">
        <v>8</v>
      </c>
      <c r="D2" s="1">
        <v>5</v>
      </c>
      <c r="E2" s="2">
        <v>46166</v>
      </c>
    </row>
    <row r="3" spans="1:5" x14ac:dyDescent="0.25">
      <c r="A3" s="1">
        <v>1</v>
      </c>
      <c r="B3" s="1">
        <v>2</v>
      </c>
      <c r="C3" s="1">
        <v>9</v>
      </c>
      <c r="D3" s="1">
        <v>2</v>
      </c>
      <c r="E3" s="2">
        <v>46166</v>
      </c>
    </row>
    <row r="4" spans="1:5" x14ac:dyDescent="0.25">
      <c r="C4"/>
      <c r="D4"/>
    </row>
    <row r="5" spans="1:5" x14ac:dyDescent="0.25">
      <c r="C5"/>
      <c r="D5"/>
    </row>
    <row r="6" spans="1:5" x14ac:dyDescent="0.25">
      <c r="C6"/>
      <c r="D6"/>
    </row>
    <row r="7" spans="1:5" x14ac:dyDescent="0.25">
      <c r="C7"/>
      <c r="D7"/>
    </row>
    <row r="8" spans="1:5" x14ac:dyDescent="0.25">
      <c r="C8"/>
      <c r="D8"/>
    </row>
    <row r="9" spans="1:5" x14ac:dyDescent="0.25">
      <c r="C9"/>
      <c r="D9"/>
    </row>
    <row r="10" spans="1:5" x14ac:dyDescent="0.25">
      <c r="C10"/>
      <c r="D10"/>
    </row>
    <row r="11" spans="1:5" x14ac:dyDescent="0.25">
      <c r="C11"/>
      <c r="D11"/>
    </row>
    <row r="12" spans="1:5" x14ac:dyDescent="0.25">
      <c r="C12"/>
      <c r="D12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14"/>
  <sheetViews>
    <sheetView topLeftCell="A118" zoomScaleNormal="100" workbookViewId="0">
      <selection activeCell="L104" sqref="L104"/>
    </sheetView>
  </sheetViews>
  <sheetFormatPr baseColWidth="10" defaultRowHeight="15" x14ac:dyDescent="0.25"/>
  <cols>
    <col min="1" max="1" width="3.85546875" customWidth="1"/>
    <col min="2" max="2" width="5" customWidth="1"/>
    <col min="3" max="3" width="5.28515625" customWidth="1"/>
    <col min="4" max="4" width="5.140625" customWidth="1"/>
    <col min="5" max="5" width="7.140625" customWidth="1"/>
    <col min="7" max="7" width="15.140625" customWidth="1"/>
    <col min="8" max="8" width="3.85546875" customWidth="1"/>
    <col min="12" max="12" width="3.42578125" customWidth="1"/>
  </cols>
  <sheetData>
    <row r="1" spans="1:12" x14ac:dyDescent="0.25">
      <c r="A1" t="s">
        <v>0</v>
      </c>
      <c r="B1" t="s">
        <v>34</v>
      </c>
      <c r="C1" t="s">
        <v>272</v>
      </c>
      <c r="D1" t="s">
        <v>265</v>
      </c>
      <c r="E1" t="s">
        <v>266</v>
      </c>
      <c r="F1" t="s">
        <v>267</v>
      </c>
      <c r="G1" t="s">
        <v>271</v>
      </c>
      <c r="H1" t="s">
        <v>268</v>
      </c>
      <c r="I1" t="s">
        <v>269</v>
      </c>
      <c r="J1" t="s">
        <v>151</v>
      </c>
      <c r="K1" t="s">
        <v>270</v>
      </c>
      <c r="L1" t="s">
        <v>43</v>
      </c>
    </row>
    <row r="2" spans="1:12" x14ac:dyDescent="0.25">
      <c r="A2" s="1">
        <v>1</v>
      </c>
      <c r="B2" s="1">
        <v>1</v>
      </c>
      <c r="C2" s="1">
        <v>1</v>
      </c>
      <c r="D2" s="1">
        <v>1</v>
      </c>
      <c r="E2" s="1">
        <v>12</v>
      </c>
      <c r="F2">
        <f>INT(VLOOKUP(D2,d_gema_valor!$A$2:$C$5,3,FALSE) * VLOOKUP(E2,d_deposito!$A$2:$B$5,2,FALSE))</f>
        <v>187</v>
      </c>
      <c r="G2">
        <v>39800</v>
      </c>
      <c r="H2" s="1">
        <v>1</v>
      </c>
      <c r="I2">
        <f>IF(H2=1, IF(L2=1, INT(G2 * (1 - VALUE(SUBSTITUTE(d_correo!$B$2, ",", ".")))), G2), -F2)</f>
        <v>39501</v>
      </c>
      <c r="J2" s="2">
        <v>46162</v>
      </c>
      <c r="K2" s="3">
        <v>0.46527777777777773</v>
      </c>
      <c r="L2" s="1">
        <v>1</v>
      </c>
    </row>
    <row r="3" spans="1:12" x14ac:dyDescent="0.25">
      <c r="A3" s="1">
        <v>1</v>
      </c>
      <c r="B3" s="1">
        <v>2</v>
      </c>
      <c r="C3" s="1">
        <v>1</v>
      </c>
      <c r="D3" s="1">
        <v>1</v>
      </c>
      <c r="E3" s="1">
        <v>12</v>
      </c>
      <c r="F3">
        <f>INT(VLOOKUP(D3,d_gema_valor!$A$2:$C$5,3,FALSE) * VLOOKUP(E3,d_deposito!$A$2:$B$5,2,FALSE))</f>
        <v>187</v>
      </c>
      <c r="G3">
        <v>39800</v>
      </c>
      <c r="H3" s="1">
        <v>2</v>
      </c>
      <c r="I3">
        <f>IF(H3=1, IF(L3=1, INT(G3 * (1 - VALUE(SUBSTITUTE(d_correo!$B$2, ",", ".")))), G3), -F3)</f>
        <v>-187</v>
      </c>
      <c r="J3" s="2">
        <v>46162</v>
      </c>
      <c r="K3" s="3">
        <v>0.46527777777777773</v>
      </c>
      <c r="L3" s="1">
        <v>1</v>
      </c>
    </row>
    <row r="4" spans="1:12" x14ac:dyDescent="0.25">
      <c r="A4" s="1">
        <v>1</v>
      </c>
      <c r="B4" s="1">
        <v>3</v>
      </c>
      <c r="C4" s="1">
        <v>1</v>
      </c>
      <c r="D4" s="1">
        <v>1</v>
      </c>
      <c r="E4" s="1">
        <v>12</v>
      </c>
      <c r="F4">
        <f>INT(VLOOKUP(D4,d_gema_valor!$A$2:$C$5,3,FALSE) * VLOOKUP(E4,d_deposito!$A$2:$B$5,2,FALSE))</f>
        <v>187</v>
      </c>
      <c r="G4">
        <v>39800</v>
      </c>
      <c r="H4" s="1">
        <v>2</v>
      </c>
      <c r="I4">
        <f>IF(H4=1, IF(L4=1, INT(G4 * (1 - VALUE(SUBSTITUTE(d_correo!$B$2, ",", ".")))), G4), -F4)</f>
        <v>-187</v>
      </c>
      <c r="J4" s="2">
        <v>46162</v>
      </c>
      <c r="K4" s="3">
        <v>0.46527777777777773</v>
      </c>
      <c r="L4" s="1">
        <v>1</v>
      </c>
    </row>
    <row r="5" spans="1:12" x14ac:dyDescent="0.25">
      <c r="A5" s="1">
        <v>1</v>
      </c>
      <c r="B5" s="1">
        <v>4</v>
      </c>
      <c r="C5" s="1">
        <v>1</v>
      </c>
      <c r="D5" s="1">
        <v>1</v>
      </c>
      <c r="E5" s="1">
        <v>12</v>
      </c>
      <c r="F5">
        <f>INT(VLOOKUP(D5,d_gema_valor!$A$2:$C$5,3,FALSE) * VLOOKUP(E5,d_deposito!$A$2:$B$5,2,FALSE))</f>
        <v>187</v>
      </c>
      <c r="G5">
        <v>39800</v>
      </c>
      <c r="H5" s="1">
        <v>2</v>
      </c>
      <c r="I5">
        <f>IF(H5=1, IF(L5=1, INT(G5 * (1 - VALUE(SUBSTITUTE(d_correo!$B$2, ",", ".")))), G5), -F5)</f>
        <v>-187</v>
      </c>
      <c r="J5" s="2">
        <v>46162</v>
      </c>
      <c r="K5" s="3">
        <v>0.46527777777777773</v>
      </c>
      <c r="L5" s="1">
        <v>1</v>
      </c>
    </row>
    <row r="6" spans="1:12" x14ac:dyDescent="0.25">
      <c r="A6" s="1">
        <v>1</v>
      </c>
      <c r="B6" s="1">
        <v>5</v>
      </c>
      <c r="C6" s="1">
        <v>2</v>
      </c>
      <c r="D6" s="1">
        <v>1</v>
      </c>
      <c r="E6" s="1">
        <v>12</v>
      </c>
      <c r="F6">
        <f>INT(VLOOKUP(D6,d_gema_valor!$A$2:$C$5,3,FALSE) * VLOOKUP(E6,d_deposito!$A$2:$B$5,2,FALSE))</f>
        <v>187</v>
      </c>
      <c r="G6">
        <v>49800</v>
      </c>
      <c r="H6" s="1">
        <v>1</v>
      </c>
      <c r="I6">
        <f>IF(H6=1, IF(L6=1, INT(G6 * (1 - VALUE(SUBSTITUTE(d_correo!$B$2, ",", ".")))), G6), -F6)</f>
        <v>49426</v>
      </c>
      <c r="J6" s="2">
        <v>46162</v>
      </c>
      <c r="K6" s="3">
        <v>0.46527777777777773</v>
      </c>
      <c r="L6" s="1">
        <v>1</v>
      </c>
    </row>
    <row r="7" spans="1:12" x14ac:dyDescent="0.25">
      <c r="A7" s="1">
        <v>1</v>
      </c>
      <c r="B7" s="1">
        <v>6</v>
      </c>
      <c r="C7" s="1">
        <v>2</v>
      </c>
      <c r="D7" s="1">
        <v>1</v>
      </c>
      <c r="E7" s="1">
        <v>12</v>
      </c>
      <c r="F7">
        <f>INT(VLOOKUP(D7,d_gema_valor!$A$2:$C$5,3,FALSE) * VLOOKUP(E7,d_deposito!$A$2:$B$5,2,FALSE))</f>
        <v>187</v>
      </c>
      <c r="G7">
        <v>49800</v>
      </c>
      <c r="H7" s="1">
        <v>1</v>
      </c>
      <c r="I7">
        <f>IF(H7=1, IF(L7=1, INT(G7 * (1 - VALUE(SUBSTITUTE(d_correo!$B$2, ",", ".")))), G7), -F7)</f>
        <v>49426</v>
      </c>
      <c r="J7" s="2">
        <v>46162</v>
      </c>
      <c r="K7" s="3">
        <v>0.46527777777777773</v>
      </c>
      <c r="L7" s="1">
        <v>1</v>
      </c>
    </row>
    <row r="8" spans="1:12" x14ac:dyDescent="0.25">
      <c r="A8" s="1">
        <v>1</v>
      </c>
      <c r="B8" s="1">
        <v>7</v>
      </c>
      <c r="C8" s="1">
        <v>2</v>
      </c>
      <c r="D8" s="1">
        <v>1</v>
      </c>
      <c r="E8" s="1">
        <v>12</v>
      </c>
      <c r="F8">
        <f>INT(VLOOKUP(D8,d_gema_valor!$A$2:$C$5,3,FALSE) * VLOOKUP(E8,d_deposito!$A$2:$B$5,2,FALSE))</f>
        <v>187</v>
      </c>
      <c r="G8">
        <v>49800</v>
      </c>
      <c r="H8" s="1">
        <v>1</v>
      </c>
      <c r="I8">
        <f>IF(H8=1, IF(L8=1, INT(G8 * (1 - VALUE(SUBSTITUTE(d_correo!$B$2, ",", ".")))), G8), -F8)</f>
        <v>49426</v>
      </c>
      <c r="J8" s="2">
        <v>46162</v>
      </c>
      <c r="K8" s="14">
        <v>0.46527777777777773</v>
      </c>
      <c r="L8" s="1">
        <v>1</v>
      </c>
    </row>
    <row r="9" spans="1:12" x14ac:dyDescent="0.25">
      <c r="A9" s="1">
        <v>1</v>
      </c>
      <c r="B9" s="1">
        <v>8</v>
      </c>
      <c r="C9" s="1">
        <v>3</v>
      </c>
      <c r="D9" s="1">
        <v>1</v>
      </c>
      <c r="E9" s="1">
        <v>12</v>
      </c>
      <c r="F9">
        <f>INT(VLOOKUP(D9,d_gema_valor!$A$2:$C$5,3,FALSE) * VLOOKUP(E9,d_deposito!$A$2:$B$5,2,FALSE))</f>
        <v>187</v>
      </c>
      <c r="G9">
        <v>50000</v>
      </c>
      <c r="H9" s="1">
        <v>2</v>
      </c>
      <c r="I9">
        <f>IF(H9=1, IF(L9=1, INT(G9 * (1 - VALUE(SUBSTITUTE(d_correo!$B$2, ",", ".")))), G9), -F9)</f>
        <v>-187</v>
      </c>
      <c r="J9" s="2">
        <v>46162</v>
      </c>
      <c r="K9" s="3">
        <v>0.46527777777777801</v>
      </c>
      <c r="L9" s="1">
        <v>1</v>
      </c>
    </row>
    <row r="10" spans="1:12" x14ac:dyDescent="0.25">
      <c r="A10" s="1">
        <v>1</v>
      </c>
      <c r="B10" s="1">
        <v>9</v>
      </c>
      <c r="C10" s="1">
        <v>3</v>
      </c>
      <c r="D10" s="1">
        <v>1</v>
      </c>
      <c r="E10" s="1">
        <v>12</v>
      </c>
      <c r="F10">
        <f>INT(VLOOKUP(D10,d_gema_valor!$A$2:$C$5,3,FALSE) * VLOOKUP(E10,d_deposito!$A$2:$B$5,2,FALSE))</f>
        <v>187</v>
      </c>
      <c r="G10">
        <v>50000</v>
      </c>
      <c r="H10" s="1">
        <v>2</v>
      </c>
      <c r="I10">
        <f>IF(H10=1, IF(L10=1, INT(G10 * (1 - VALUE(SUBSTITUTE(d_correo!$B$2, ",", ".")))), G10), -F10)</f>
        <v>-187</v>
      </c>
      <c r="J10" s="2">
        <v>46162</v>
      </c>
      <c r="K10" s="3">
        <v>0.46527777777777801</v>
      </c>
      <c r="L10" s="1">
        <v>1</v>
      </c>
    </row>
    <row r="11" spans="1:12" x14ac:dyDescent="0.25">
      <c r="A11" s="1">
        <v>1</v>
      </c>
      <c r="B11" s="1">
        <v>10</v>
      </c>
      <c r="C11" s="1">
        <v>3</v>
      </c>
      <c r="D11" s="1">
        <v>1</v>
      </c>
      <c r="E11" s="1">
        <v>12</v>
      </c>
      <c r="F11">
        <f>INT(VLOOKUP(D11,d_gema_valor!$A$2:$C$5,3,FALSE) * VLOOKUP(E11,d_deposito!$A$2:$B$5,2,FALSE))</f>
        <v>187</v>
      </c>
      <c r="G11">
        <v>50000</v>
      </c>
      <c r="H11" s="1">
        <v>2</v>
      </c>
      <c r="I11">
        <f>IF(H11=1, IF(L11=1, INT(G11 * (1 - VALUE(SUBSTITUTE(d_correo!$B$2, ",", ".")))), G11), -F11)</f>
        <v>-187</v>
      </c>
      <c r="J11" s="2">
        <v>46162</v>
      </c>
      <c r="K11" s="3">
        <v>0.46527777777777801</v>
      </c>
      <c r="L11" s="1">
        <v>1</v>
      </c>
    </row>
    <row r="12" spans="1:12" x14ac:dyDescent="0.25">
      <c r="A12" s="1">
        <v>1</v>
      </c>
      <c r="B12" s="1">
        <v>11</v>
      </c>
      <c r="C12" s="1">
        <v>3</v>
      </c>
      <c r="D12" s="1">
        <v>1</v>
      </c>
      <c r="E12" s="1">
        <v>12</v>
      </c>
      <c r="F12">
        <f>INT(VLOOKUP(D12,d_gema_valor!$A$2:$C$5,3,FALSE) * VLOOKUP(E12,d_deposito!$A$2:$B$5,2,FALSE))</f>
        <v>187</v>
      </c>
      <c r="G12">
        <v>50000</v>
      </c>
      <c r="H12" s="1">
        <v>2</v>
      </c>
      <c r="I12">
        <f>IF(H12=1, IF(L12=1, INT(G12 * (1 - VALUE(SUBSTITUTE(d_correo!$B$2, ",", ".")))), G12), -F12)</f>
        <v>-187</v>
      </c>
      <c r="J12" s="2">
        <v>46162</v>
      </c>
      <c r="K12" s="3">
        <v>0.46527777777777801</v>
      </c>
      <c r="L12" s="1">
        <v>1</v>
      </c>
    </row>
    <row r="13" spans="1:12" x14ac:dyDescent="0.25">
      <c r="A13" s="1">
        <v>1</v>
      </c>
      <c r="B13" s="1">
        <v>12</v>
      </c>
      <c r="C13" s="1">
        <v>3</v>
      </c>
      <c r="D13" s="1">
        <v>1</v>
      </c>
      <c r="E13" s="1">
        <v>12</v>
      </c>
      <c r="F13">
        <f>INT(VLOOKUP(D13,d_gema_valor!$A$2:$C$5,3,FALSE) * VLOOKUP(E13,d_deposito!$A$2:$B$5,2,FALSE))</f>
        <v>187</v>
      </c>
      <c r="G13">
        <v>50000</v>
      </c>
      <c r="H13" s="1">
        <v>2</v>
      </c>
      <c r="I13">
        <f>IF(H13=1, IF(L13=1, INT(G13 * (1 - VALUE(SUBSTITUTE(d_correo!$B$2, ",", ".")))), G13), -F13)</f>
        <v>-187</v>
      </c>
      <c r="J13" s="2">
        <v>46162</v>
      </c>
      <c r="K13" s="3">
        <v>0.46527777777777801</v>
      </c>
      <c r="L13" s="1">
        <v>1</v>
      </c>
    </row>
    <row r="14" spans="1:12" x14ac:dyDescent="0.25">
      <c r="A14" s="1">
        <v>1</v>
      </c>
      <c r="B14" s="1">
        <v>13</v>
      </c>
      <c r="C14" s="1">
        <v>3</v>
      </c>
      <c r="D14" s="1">
        <v>1</v>
      </c>
      <c r="E14" s="1">
        <v>12</v>
      </c>
      <c r="F14">
        <f>INT(VLOOKUP(D14,d_gema_valor!$A$2:$C$5,3,FALSE) * VLOOKUP(E14,d_deposito!$A$2:$B$5,2,FALSE))</f>
        <v>187</v>
      </c>
      <c r="G14">
        <v>50000</v>
      </c>
      <c r="H14" s="1">
        <v>2</v>
      </c>
      <c r="I14">
        <f>IF(H14=1, IF(L14=1, INT(G14 * (1 - VALUE(SUBSTITUTE(d_correo!$B$2, ",", ".")))), G14), -F14)</f>
        <v>-187</v>
      </c>
      <c r="J14" s="2">
        <v>46162</v>
      </c>
      <c r="K14" s="14">
        <v>0.46527777777777801</v>
      </c>
      <c r="L14" s="1">
        <v>1</v>
      </c>
    </row>
    <row r="15" spans="1:12" x14ac:dyDescent="0.25">
      <c r="A15" s="1">
        <v>1</v>
      </c>
      <c r="B15" s="1">
        <v>14</v>
      </c>
      <c r="C15" s="1">
        <v>4</v>
      </c>
      <c r="D15" s="1">
        <v>1</v>
      </c>
      <c r="E15" s="1">
        <v>12</v>
      </c>
      <c r="F15">
        <f>INT(VLOOKUP(D15,d_gema_valor!$A$2:$C$5,3,FALSE) * VLOOKUP(E15,d_deposito!$A$2:$B$5,2,FALSE))</f>
        <v>187</v>
      </c>
      <c r="G15">
        <v>39800</v>
      </c>
      <c r="H15" s="1">
        <v>2</v>
      </c>
      <c r="I15">
        <f>IF(H15=1, IF(L15=1, INT(G15 * (1 - VALUE(SUBSTITUTE(d_correo!$B$2, ",", ".")))), G15), -F15)</f>
        <v>-187</v>
      </c>
      <c r="J15" s="2">
        <v>46162</v>
      </c>
      <c r="K15" s="3">
        <v>0.46527777777777801</v>
      </c>
      <c r="L15" s="1">
        <v>1</v>
      </c>
    </row>
    <row r="16" spans="1:12" x14ac:dyDescent="0.25">
      <c r="A16" s="1">
        <v>1</v>
      </c>
      <c r="B16" s="1">
        <v>15</v>
      </c>
      <c r="C16" s="1">
        <v>4</v>
      </c>
      <c r="D16" s="1">
        <v>1</v>
      </c>
      <c r="E16" s="1">
        <v>12</v>
      </c>
      <c r="F16">
        <f>INT(VLOOKUP(D16,d_gema_valor!$A$2:$C$5,3,FALSE) * VLOOKUP(E16,d_deposito!$A$2:$B$5,2,FALSE))</f>
        <v>187</v>
      </c>
      <c r="G16">
        <v>39800</v>
      </c>
      <c r="H16" s="1">
        <v>2</v>
      </c>
      <c r="I16">
        <f>IF(H16=1, IF(L16=1, INT(G16 * (1 - VALUE(SUBSTITUTE(d_correo!$B$2, ",", ".")))), G16), -F16)</f>
        <v>-187</v>
      </c>
      <c r="J16" s="2">
        <v>46162</v>
      </c>
      <c r="K16" s="3">
        <v>0.46527777777777801</v>
      </c>
      <c r="L16" s="1">
        <v>1</v>
      </c>
    </row>
    <row r="17" spans="1:12" x14ac:dyDescent="0.25">
      <c r="A17" s="1">
        <v>1</v>
      </c>
      <c r="B17" s="1">
        <v>16</v>
      </c>
      <c r="C17" s="1">
        <v>4</v>
      </c>
      <c r="D17" s="1">
        <v>1</v>
      </c>
      <c r="E17" s="1">
        <v>12</v>
      </c>
      <c r="F17">
        <f>INT(VLOOKUP(D17,d_gema_valor!$A$2:$C$5,3,FALSE) * VLOOKUP(E17,d_deposito!$A$2:$B$5,2,FALSE))</f>
        <v>187</v>
      </c>
      <c r="G17">
        <v>39800</v>
      </c>
      <c r="H17" s="1">
        <v>2</v>
      </c>
      <c r="I17">
        <f>IF(H17=1, IF(L17=1, INT(G17 * (1 - VALUE(SUBSTITUTE(d_correo!$B$2, ",", ".")))), G17), -F17)</f>
        <v>-187</v>
      </c>
      <c r="J17" s="2">
        <v>46162</v>
      </c>
      <c r="K17" s="3">
        <v>0.46527777777777801</v>
      </c>
      <c r="L17" s="1">
        <v>1</v>
      </c>
    </row>
    <row r="18" spans="1:12" x14ac:dyDescent="0.25">
      <c r="A18" s="1">
        <v>1</v>
      </c>
      <c r="B18" s="1">
        <v>17</v>
      </c>
      <c r="C18" s="1">
        <v>5</v>
      </c>
      <c r="D18" s="1">
        <v>1</v>
      </c>
      <c r="E18" s="1">
        <v>12</v>
      </c>
      <c r="F18">
        <f>INT(VLOOKUP(D18,d_gema_valor!$A$2:$C$5,3,FALSE) * VLOOKUP(E18,d_deposito!$A$2:$B$5,2,FALSE))</f>
        <v>187</v>
      </c>
      <c r="G18">
        <v>70000</v>
      </c>
      <c r="H18" s="1">
        <v>2</v>
      </c>
      <c r="I18">
        <f>IF(H18=1, IF(L18=1, INT(G18 * (1 - VALUE(SUBSTITUTE(d_correo!$B$2, ",", ".")))), G18), -F18)</f>
        <v>-187</v>
      </c>
      <c r="J18" s="2">
        <v>46162</v>
      </c>
      <c r="K18" s="3">
        <v>0.46527777777777801</v>
      </c>
      <c r="L18" s="1">
        <v>1</v>
      </c>
    </row>
    <row r="19" spans="1:12" x14ac:dyDescent="0.25">
      <c r="A19" s="1">
        <v>1</v>
      </c>
      <c r="B19" s="1">
        <v>18</v>
      </c>
      <c r="C19" s="1">
        <v>5</v>
      </c>
      <c r="D19" s="1">
        <v>1</v>
      </c>
      <c r="E19" s="1">
        <v>12</v>
      </c>
      <c r="F19">
        <f>INT(VLOOKUP(D19,d_gema_valor!$A$2:$C$5,3,FALSE) * VLOOKUP(E19,d_deposito!$A$2:$B$5,2,FALSE))</f>
        <v>187</v>
      </c>
      <c r="G19">
        <v>70000</v>
      </c>
      <c r="H19" s="1">
        <v>2</v>
      </c>
      <c r="I19">
        <f>IF(H19=1, IF(L19=1, INT(G19 * (1 - VALUE(SUBSTITUTE(d_correo!$B$2, ",", ".")))), G19), -F19)</f>
        <v>-187</v>
      </c>
      <c r="J19" s="2">
        <v>46162</v>
      </c>
      <c r="K19" s="3">
        <v>0.46527777777777801</v>
      </c>
      <c r="L19" s="1">
        <v>1</v>
      </c>
    </row>
    <row r="20" spans="1:12" x14ac:dyDescent="0.25">
      <c r="A20" s="1">
        <v>1</v>
      </c>
      <c r="B20" s="1">
        <v>19</v>
      </c>
      <c r="C20" s="1">
        <v>5</v>
      </c>
      <c r="D20" s="1">
        <v>1</v>
      </c>
      <c r="E20" s="1">
        <v>12</v>
      </c>
      <c r="F20" s="15">
        <f>INT(VLOOKUP(D20,d_gema_valor!$A$2:$C$5,3,FALSE) * VLOOKUP(E20,d_deposito!$A$2:$B$5,2,FALSE))</f>
        <v>187</v>
      </c>
      <c r="G20">
        <v>70000</v>
      </c>
      <c r="H20" s="1">
        <v>2</v>
      </c>
      <c r="I20" s="15">
        <f>IF(H20=1, IF(L20=1, INT(G20 * (1 - VALUE(SUBSTITUTE(d_correo!$B$2, ",", ".")))), G20), -F20)</f>
        <v>-187</v>
      </c>
      <c r="J20" s="2">
        <v>46162</v>
      </c>
      <c r="K20" s="14">
        <v>0.46527777777777801</v>
      </c>
      <c r="L20" s="1">
        <v>1</v>
      </c>
    </row>
    <row r="21" spans="1:12" x14ac:dyDescent="0.25">
      <c r="A21" s="1">
        <v>1</v>
      </c>
      <c r="B21" s="1">
        <v>20</v>
      </c>
      <c r="C21" s="1">
        <v>5</v>
      </c>
      <c r="D21" s="1">
        <v>1</v>
      </c>
      <c r="E21" s="1">
        <v>12</v>
      </c>
      <c r="F21" s="15">
        <f>INT(VLOOKUP(D21,d_gema_valor!$A$2:$C$5,3,FALSE) * VLOOKUP(E21,d_deposito!$A$2:$B$5,2,FALSE))</f>
        <v>187</v>
      </c>
      <c r="G21">
        <v>70000</v>
      </c>
      <c r="H21" s="1">
        <v>2</v>
      </c>
      <c r="I21" s="15">
        <f>IF(H21=1, IF(L21=1, INT(G21 * (1 - VALUE(SUBSTITUTE(d_correo!$B$2, ",", ".")))), G21), -F21)</f>
        <v>-187</v>
      </c>
      <c r="J21" s="2">
        <v>46162</v>
      </c>
      <c r="K21" s="3">
        <v>0.46527777777777801</v>
      </c>
      <c r="L21" s="1">
        <v>1</v>
      </c>
    </row>
    <row r="22" spans="1:12" x14ac:dyDescent="0.25">
      <c r="A22" s="1">
        <v>1</v>
      </c>
      <c r="B22" s="1">
        <v>21</v>
      </c>
      <c r="C22" s="1">
        <v>6</v>
      </c>
      <c r="D22" s="1">
        <v>1</v>
      </c>
      <c r="E22" s="1">
        <v>12</v>
      </c>
      <c r="F22" s="15">
        <f>INT(VLOOKUP(D22,d_gema_valor!$A$2:$C$5,3,FALSE) * VLOOKUP(E22,d_deposito!$A$2:$B$5,2,FALSE))</f>
        <v>187</v>
      </c>
      <c r="G22">
        <v>77500</v>
      </c>
      <c r="H22" s="1">
        <v>2</v>
      </c>
      <c r="I22" s="15">
        <f>IF(H22=1, IF(L22=1, INT(G22 * (1 - VALUE(SUBSTITUTE(d_correo!$B$2, ",", ".")))), G22), -F22)</f>
        <v>-187</v>
      </c>
      <c r="J22" s="2">
        <v>46162</v>
      </c>
      <c r="K22" s="3">
        <v>0.46527777777777801</v>
      </c>
      <c r="L22" s="1">
        <v>1</v>
      </c>
    </row>
    <row r="23" spans="1:12" x14ac:dyDescent="0.25">
      <c r="A23" s="1">
        <v>1</v>
      </c>
      <c r="B23" s="1">
        <v>22</v>
      </c>
      <c r="C23" s="1">
        <v>6</v>
      </c>
      <c r="D23" s="1">
        <v>1</v>
      </c>
      <c r="E23" s="1">
        <v>12</v>
      </c>
      <c r="F23" s="15">
        <f>INT(VLOOKUP(D23,d_gema_valor!$A$2:$C$5,3,FALSE) * VLOOKUP(E23,d_deposito!$A$2:$B$5,2,FALSE))</f>
        <v>187</v>
      </c>
      <c r="G23">
        <v>77500</v>
      </c>
      <c r="H23" s="1">
        <v>2</v>
      </c>
      <c r="I23" s="15">
        <f>IF(H23=1, IF(L23=1, INT(G23 * (1 - VALUE(SUBSTITUTE(d_correo!$B$2, ",", ".")))), G23), -F23)</f>
        <v>-187</v>
      </c>
      <c r="J23" s="2">
        <v>46162</v>
      </c>
      <c r="K23" s="3">
        <v>0.46527777777777801</v>
      </c>
      <c r="L23" s="1">
        <v>1</v>
      </c>
    </row>
    <row r="24" spans="1:12" x14ac:dyDescent="0.25">
      <c r="A24" s="1">
        <v>1</v>
      </c>
      <c r="B24" s="1">
        <v>23</v>
      </c>
      <c r="C24" s="1">
        <v>6</v>
      </c>
      <c r="D24" s="1">
        <v>1</v>
      </c>
      <c r="E24" s="1">
        <v>12</v>
      </c>
      <c r="F24" s="15">
        <f>INT(VLOOKUP(D24,d_gema_valor!$A$2:$C$5,3,FALSE) * VLOOKUP(E24,d_deposito!$A$2:$B$5,2,FALSE))</f>
        <v>187</v>
      </c>
      <c r="G24">
        <v>77500</v>
      </c>
      <c r="H24" s="1">
        <v>2</v>
      </c>
      <c r="I24" s="15">
        <f>IF(H24=1, IF(L24=1, INT(G24 * (1 - VALUE(SUBSTITUTE(d_correo!$B$2, ",", ".")))), G24), -F24)</f>
        <v>-187</v>
      </c>
      <c r="J24" s="2">
        <v>46162</v>
      </c>
      <c r="K24" s="14">
        <v>0.46527777777777801</v>
      </c>
      <c r="L24" s="1">
        <v>1</v>
      </c>
    </row>
    <row r="25" spans="1:12" x14ac:dyDescent="0.25">
      <c r="A25" s="1">
        <v>1</v>
      </c>
      <c r="B25" s="1">
        <v>24</v>
      </c>
      <c r="C25" s="1">
        <v>6</v>
      </c>
      <c r="D25" s="1">
        <v>1</v>
      </c>
      <c r="E25" s="1">
        <v>12</v>
      </c>
      <c r="F25" s="15">
        <f>INT(VLOOKUP(D25,d_gema_valor!$A$2:$C$5,3,FALSE) * VLOOKUP(E25,d_deposito!$A$2:$B$5,2,FALSE))</f>
        <v>187</v>
      </c>
      <c r="G25">
        <v>77500</v>
      </c>
      <c r="H25" s="1">
        <v>2</v>
      </c>
      <c r="I25" s="15">
        <f>IF(H25=1, IF(L25=1, INT(G25 * (1 - VALUE(SUBSTITUTE(d_correo!$B$2, ",", ".")))), G25), -F25)</f>
        <v>-187</v>
      </c>
      <c r="J25" s="2">
        <v>46162</v>
      </c>
      <c r="K25" s="3">
        <v>0.46527777777777801</v>
      </c>
      <c r="L25" s="1">
        <v>1</v>
      </c>
    </row>
    <row r="26" spans="1:12" x14ac:dyDescent="0.25">
      <c r="A26" s="1">
        <v>1</v>
      </c>
      <c r="B26" s="1">
        <v>25</v>
      </c>
      <c r="C26" s="1">
        <v>1</v>
      </c>
      <c r="D26" s="1">
        <v>1</v>
      </c>
      <c r="E26" s="1">
        <v>12</v>
      </c>
      <c r="F26" s="15">
        <f>INT(VLOOKUP(D26,d_gema_valor!$A$2:$C$5,3,FALSE) * VLOOKUP(E26,d_deposito!$A$2:$B$5,2,FALSE))</f>
        <v>187</v>
      </c>
      <c r="G26">
        <v>89000</v>
      </c>
      <c r="H26" s="1">
        <v>2</v>
      </c>
      <c r="I26" s="15">
        <f>IF(H26=1, IF(L26=1, INT(G26 * (1 - VALUE(SUBSTITUTE(d_correo!$B$2, ",", ".")))), G26), -F26)</f>
        <v>-187</v>
      </c>
      <c r="J26" s="2">
        <v>46164</v>
      </c>
      <c r="K26" s="3">
        <v>4.1666666666666666E-3</v>
      </c>
      <c r="L26" s="1">
        <v>1</v>
      </c>
    </row>
    <row r="27" spans="1:12" x14ac:dyDescent="0.25">
      <c r="A27" s="1">
        <v>1</v>
      </c>
      <c r="B27" s="1">
        <v>26</v>
      </c>
      <c r="C27" s="1">
        <v>1</v>
      </c>
      <c r="D27" s="1">
        <v>1</v>
      </c>
      <c r="E27" s="1">
        <v>12</v>
      </c>
      <c r="F27" s="15">
        <f>INT(VLOOKUP(D27,d_gema_valor!$A$2:$C$5,3,FALSE) * VLOOKUP(E27,d_deposito!$A$2:$B$5,2,FALSE))</f>
        <v>187</v>
      </c>
      <c r="G27">
        <v>89000</v>
      </c>
      <c r="H27" s="1">
        <v>2</v>
      </c>
      <c r="I27" s="15">
        <f>IF(H27=1, IF(L27=1, INT(G27 * (1 - VALUE(SUBSTITUTE(d_correo!$B$2, ",", ".")))), G27), -F27)</f>
        <v>-187</v>
      </c>
      <c r="J27" s="2">
        <v>46164</v>
      </c>
      <c r="K27" s="3">
        <v>4.1666666666666666E-3</v>
      </c>
      <c r="L27" s="1">
        <v>1</v>
      </c>
    </row>
    <row r="28" spans="1:12" x14ac:dyDescent="0.25">
      <c r="A28" s="1">
        <v>1</v>
      </c>
      <c r="B28" s="1">
        <v>27</v>
      </c>
      <c r="C28" s="1">
        <v>1</v>
      </c>
      <c r="D28" s="1">
        <v>1</v>
      </c>
      <c r="E28" s="1">
        <v>12</v>
      </c>
      <c r="F28" s="15">
        <f>INT(VLOOKUP(D28,d_gema_valor!$A$2:$C$5,3,FALSE) * VLOOKUP(E28,d_deposito!$A$2:$B$5,2,FALSE))</f>
        <v>187</v>
      </c>
      <c r="G28">
        <v>89000</v>
      </c>
      <c r="H28" s="1">
        <v>2</v>
      </c>
      <c r="I28" s="15">
        <f>IF(H28=1, IF(L28=1, INT(G28 * (1 - VALUE(SUBSTITUTE(d_correo!$B$2, ",", ".")))), G28), -F28)</f>
        <v>-187</v>
      </c>
      <c r="J28" s="2">
        <v>46164</v>
      </c>
      <c r="K28" s="3">
        <v>4.1666666666666701E-3</v>
      </c>
      <c r="L28" s="1">
        <v>1</v>
      </c>
    </row>
    <row r="29" spans="1:12" x14ac:dyDescent="0.25">
      <c r="A29" s="1">
        <v>1</v>
      </c>
      <c r="B29" s="1">
        <v>28</v>
      </c>
      <c r="C29" s="1">
        <v>3</v>
      </c>
      <c r="D29" s="1">
        <v>1</v>
      </c>
      <c r="E29" s="1">
        <v>12</v>
      </c>
      <c r="F29" s="15">
        <f>INT(VLOOKUP(D29,d_gema_valor!$A$2:$C$5,3,FALSE) * VLOOKUP(E29,d_deposito!$A$2:$B$5,2,FALSE))</f>
        <v>187</v>
      </c>
      <c r="G29">
        <v>69500</v>
      </c>
      <c r="H29" s="1">
        <v>2</v>
      </c>
      <c r="I29" s="15">
        <f>IF(H29=1, IF(L29=1, INT(G29 * (1 - VALUE(SUBSTITUTE(d_correo!$B$2, ",", ".")))), G29), -F29)</f>
        <v>-187</v>
      </c>
      <c r="J29" s="2">
        <v>46164</v>
      </c>
      <c r="K29" s="3">
        <v>4.1666666666666701E-3</v>
      </c>
      <c r="L29" s="1">
        <v>1</v>
      </c>
    </row>
    <row r="30" spans="1:12" x14ac:dyDescent="0.25">
      <c r="A30" s="1">
        <v>1</v>
      </c>
      <c r="B30" s="1">
        <v>29</v>
      </c>
      <c r="C30" s="1">
        <v>3</v>
      </c>
      <c r="D30" s="1">
        <v>1</v>
      </c>
      <c r="E30" s="1">
        <v>12</v>
      </c>
      <c r="F30" s="15">
        <f>INT(VLOOKUP(D30,d_gema_valor!$A$2:$C$5,3,FALSE) * VLOOKUP(E30,d_deposito!$A$2:$B$5,2,FALSE))</f>
        <v>187</v>
      </c>
      <c r="G30">
        <v>69500</v>
      </c>
      <c r="H30" s="1">
        <v>2</v>
      </c>
      <c r="I30" s="15">
        <f>IF(H30=1, IF(L30=1, INT(G30 * (1 - VALUE(SUBSTITUTE(d_correo!$B$2, ",", ".")))), G30), -F30)</f>
        <v>-187</v>
      </c>
      <c r="J30" s="2">
        <v>46164</v>
      </c>
      <c r="K30" s="3">
        <v>4.1666666666666701E-3</v>
      </c>
      <c r="L30" s="1">
        <v>1</v>
      </c>
    </row>
    <row r="31" spans="1:12" x14ac:dyDescent="0.25">
      <c r="A31" s="1">
        <v>1</v>
      </c>
      <c r="B31" s="1">
        <v>30</v>
      </c>
      <c r="C31" s="1">
        <v>3</v>
      </c>
      <c r="D31" s="1">
        <v>1</v>
      </c>
      <c r="E31" s="1">
        <v>12</v>
      </c>
      <c r="F31" s="15">
        <f>INT(VLOOKUP(D31,d_gema_valor!$A$2:$C$5,3,FALSE) * VLOOKUP(E31,d_deposito!$A$2:$B$5,2,FALSE))</f>
        <v>187</v>
      </c>
      <c r="G31">
        <v>69500</v>
      </c>
      <c r="H31" s="1">
        <v>2</v>
      </c>
      <c r="I31" s="15">
        <f>IF(H31=1, IF(L31=1, INT(G31 * (1 - VALUE(SUBSTITUTE(d_correo!$B$2, ",", ".")))), G31), -F31)</f>
        <v>-187</v>
      </c>
      <c r="J31" s="2">
        <v>46164</v>
      </c>
      <c r="K31" s="3">
        <v>4.1666666666666701E-3</v>
      </c>
      <c r="L31" s="1">
        <v>1</v>
      </c>
    </row>
    <row r="32" spans="1:12" x14ac:dyDescent="0.25">
      <c r="A32" s="1">
        <v>1</v>
      </c>
      <c r="B32" s="1">
        <v>31</v>
      </c>
      <c r="C32" s="1">
        <v>3</v>
      </c>
      <c r="D32" s="1">
        <v>1</v>
      </c>
      <c r="E32" s="1">
        <v>12</v>
      </c>
      <c r="F32" s="15">
        <f>INT(VLOOKUP(D32,d_gema_valor!$A$2:$C$5,3,FALSE) * VLOOKUP(E32,d_deposito!$A$2:$B$5,2,FALSE))</f>
        <v>187</v>
      </c>
      <c r="G32">
        <v>69500</v>
      </c>
      <c r="H32" s="1">
        <v>2</v>
      </c>
      <c r="I32" s="15">
        <f>IF(H32=1, IF(L32=1, INT(G32 * (1 - VALUE(SUBSTITUTE(d_correo!$B$2, ",", ".")))), G32), -F32)</f>
        <v>-187</v>
      </c>
      <c r="J32" s="2">
        <v>46164</v>
      </c>
      <c r="K32" s="3">
        <v>4.1666666666666701E-3</v>
      </c>
      <c r="L32" s="1">
        <v>1</v>
      </c>
    </row>
    <row r="33" spans="1:12" x14ac:dyDescent="0.25">
      <c r="A33" s="1">
        <v>1</v>
      </c>
      <c r="B33" s="1">
        <v>32</v>
      </c>
      <c r="C33" s="1">
        <v>3</v>
      </c>
      <c r="D33" s="1">
        <v>1</v>
      </c>
      <c r="E33" s="1">
        <v>12</v>
      </c>
      <c r="F33" s="15">
        <f>INT(VLOOKUP(D33,d_gema_valor!$A$2:$C$5,3,FALSE) * VLOOKUP(E33,d_deposito!$A$2:$B$5,2,FALSE))</f>
        <v>187</v>
      </c>
      <c r="G33">
        <v>69500</v>
      </c>
      <c r="H33" s="1">
        <v>2</v>
      </c>
      <c r="I33" s="15">
        <f>IF(H33=1, IF(L33=1, INT(G33 * (1 - VALUE(SUBSTITUTE(d_correo!$B$2, ",", ".")))), G33), -F33)</f>
        <v>-187</v>
      </c>
      <c r="J33" s="2">
        <v>46164</v>
      </c>
      <c r="K33" s="3">
        <v>4.1666666666666701E-3</v>
      </c>
      <c r="L33" s="1">
        <v>1</v>
      </c>
    </row>
    <row r="34" spans="1:12" x14ac:dyDescent="0.25">
      <c r="A34" s="1">
        <v>1</v>
      </c>
      <c r="B34" s="1">
        <v>33</v>
      </c>
      <c r="C34" s="1">
        <v>3</v>
      </c>
      <c r="D34" s="1">
        <v>1</v>
      </c>
      <c r="E34" s="1">
        <v>12</v>
      </c>
      <c r="F34" s="15">
        <f>INT(VLOOKUP(D34,d_gema_valor!$A$2:$C$5,3,FALSE) * VLOOKUP(E34,d_deposito!$A$2:$B$5,2,FALSE))</f>
        <v>187</v>
      </c>
      <c r="G34">
        <v>69500</v>
      </c>
      <c r="H34" s="1">
        <v>2</v>
      </c>
      <c r="I34" s="15">
        <f>IF(H34=1, IF(L34=1, INT(G34 * (1 - VALUE(SUBSTITUTE(d_correo!$B$2, ",", ".")))), G34), -F34)</f>
        <v>-187</v>
      </c>
      <c r="J34" s="2">
        <v>46164</v>
      </c>
      <c r="K34" s="3">
        <v>4.1666666666666701E-3</v>
      </c>
      <c r="L34" s="1">
        <v>1</v>
      </c>
    </row>
    <row r="35" spans="1:12" x14ac:dyDescent="0.25">
      <c r="A35" s="1">
        <v>1</v>
      </c>
      <c r="B35" s="1">
        <v>34</v>
      </c>
      <c r="C35" s="1">
        <v>4</v>
      </c>
      <c r="D35" s="1">
        <v>1</v>
      </c>
      <c r="E35" s="1">
        <v>12</v>
      </c>
      <c r="F35" s="15">
        <f>INT(VLOOKUP(D35,d_gema_valor!$A$2:$C$5,3,FALSE) * VLOOKUP(E35,d_deposito!$A$2:$B$5,2,FALSE))</f>
        <v>187</v>
      </c>
      <c r="G35">
        <v>23900</v>
      </c>
      <c r="H35" s="1">
        <v>1</v>
      </c>
      <c r="I35" s="15">
        <f>IF(H35=1, IF(L35=1, INT(G35 * (1 - VALUE(SUBSTITUTE(d_correo!$B$2, ",", ".")))), G35), -F35)</f>
        <v>23720</v>
      </c>
      <c r="J35" s="2">
        <v>46164</v>
      </c>
      <c r="K35" s="3">
        <v>4.1666666666666701E-3</v>
      </c>
      <c r="L35" s="1">
        <v>1</v>
      </c>
    </row>
    <row r="36" spans="1:12" x14ac:dyDescent="0.25">
      <c r="A36" s="1">
        <v>1</v>
      </c>
      <c r="B36" s="1">
        <v>35</v>
      </c>
      <c r="C36" s="1">
        <v>4</v>
      </c>
      <c r="D36" s="1">
        <v>1</v>
      </c>
      <c r="E36" s="1">
        <v>12</v>
      </c>
      <c r="F36" s="15">
        <f>INT(VLOOKUP(D36,d_gema_valor!$A$2:$C$5,3,FALSE) * VLOOKUP(E36,d_deposito!$A$2:$B$5,2,FALSE))</f>
        <v>187</v>
      </c>
      <c r="G36">
        <v>23900</v>
      </c>
      <c r="H36" s="1">
        <v>1</v>
      </c>
      <c r="I36" s="15">
        <f>IF(H36=1, IF(L36=1, INT(G36 * (1 - VALUE(SUBSTITUTE(d_correo!$B$2, ",", ".")))), G36), -F36)</f>
        <v>23720</v>
      </c>
      <c r="J36" s="2">
        <v>46164</v>
      </c>
      <c r="K36" s="3">
        <v>4.1666666666666701E-3</v>
      </c>
      <c r="L36" s="1">
        <v>1</v>
      </c>
    </row>
    <row r="37" spans="1:12" x14ac:dyDescent="0.25">
      <c r="A37" s="1">
        <v>1</v>
      </c>
      <c r="B37" s="1">
        <v>36</v>
      </c>
      <c r="C37" s="1">
        <v>4</v>
      </c>
      <c r="D37" s="1">
        <v>1</v>
      </c>
      <c r="E37" s="1">
        <v>12</v>
      </c>
      <c r="F37" s="15">
        <f>INT(VLOOKUP(D37,d_gema_valor!$A$2:$C$5,3,FALSE) * VLOOKUP(E37,d_deposito!$A$2:$B$5,2,FALSE))</f>
        <v>187</v>
      </c>
      <c r="G37">
        <v>23900</v>
      </c>
      <c r="H37" s="1">
        <v>1</v>
      </c>
      <c r="I37" s="15">
        <f>IF(H37=1, IF(L37=1, INT(G37 * (1 - VALUE(SUBSTITUTE(d_correo!$B$2, ",", ".")))), G37), -F37)</f>
        <v>23720</v>
      </c>
      <c r="J37" s="2">
        <v>46164</v>
      </c>
      <c r="K37" s="3">
        <v>4.1666666666666701E-3</v>
      </c>
      <c r="L37" s="1">
        <v>1</v>
      </c>
    </row>
    <row r="38" spans="1:12" x14ac:dyDescent="0.25">
      <c r="A38" s="1">
        <v>1</v>
      </c>
      <c r="B38" s="1">
        <v>37</v>
      </c>
      <c r="C38" s="1">
        <v>5</v>
      </c>
      <c r="D38" s="1">
        <v>1</v>
      </c>
      <c r="E38" s="1">
        <v>12</v>
      </c>
      <c r="F38" s="15">
        <f>INT(VLOOKUP(D38,d_gema_valor!$A$2:$C$5,3,FALSE) * VLOOKUP(E38,d_deposito!$A$2:$B$5,2,FALSE))</f>
        <v>187</v>
      </c>
      <c r="G38">
        <v>49500</v>
      </c>
      <c r="H38" s="1">
        <v>2</v>
      </c>
      <c r="I38" s="15">
        <f>IF(H38=1, IF(L38=1, INT(G38 * (1 - VALUE(SUBSTITUTE(d_correo!$B$2, ",", ".")))), G38), -F38)</f>
        <v>-187</v>
      </c>
      <c r="J38" s="2">
        <v>46164</v>
      </c>
      <c r="K38" s="3">
        <v>4.1666666666666701E-3</v>
      </c>
      <c r="L38" s="1">
        <v>1</v>
      </c>
    </row>
    <row r="39" spans="1:12" x14ac:dyDescent="0.25">
      <c r="A39" s="1">
        <v>1</v>
      </c>
      <c r="B39" s="1">
        <v>38</v>
      </c>
      <c r="C39" s="1">
        <v>5</v>
      </c>
      <c r="D39" s="1">
        <v>1</v>
      </c>
      <c r="E39" s="1">
        <v>12</v>
      </c>
      <c r="F39" s="15">
        <f>INT(VLOOKUP(D39,d_gema_valor!$A$2:$C$5,3,FALSE) * VLOOKUP(E39,d_deposito!$A$2:$B$5,2,FALSE))</f>
        <v>187</v>
      </c>
      <c r="G39">
        <v>49500</v>
      </c>
      <c r="H39" s="1">
        <v>2</v>
      </c>
      <c r="I39" s="15">
        <f>IF(H39=1, IF(L39=1, INT(G39 * (1 - VALUE(SUBSTITUTE(d_correo!$B$2, ",", ".")))), G39), -F39)</f>
        <v>-187</v>
      </c>
      <c r="J39" s="2">
        <v>46164</v>
      </c>
      <c r="K39" s="3">
        <v>4.1666666666666701E-3</v>
      </c>
      <c r="L39" s="1">
        <v>1</v>
      </c>
    </row>
    <row r="40" spans="1:12" x14ac:dyDescent="0.25">
      <c r="A40" s="1">
        <v>1</v>
      </c>
      <c r="B40" s="1">
        <v>39</v>
      </c>
      <c r="C40" s="1">
        <v>5</v>
      </c>
      <c r="D40" s="1">
        <v>1</v>
      </c>
      <c r="E40" s="1">
        <v>12</v>
      </c>
      <c r="F40" s="15">
        <f>INT(VLOOKUP(D40,d_gema_valor!$A$2:$C$5,3,FALSE) * VLOOKUP(E40,d_deposito!$A$2:$B$5,2,FALSE))</f>
        <v>187</v>
      </c>
      <c r="G40">
        <v>49500</v>
      </c>
      <c r="H40" s="1">
        <v>2</v>
      </c>
      <c r="I40" s="15">
        <f>IF(H40=1, IF(L40=1, INT(G40 * (1 - VALUE(SUBSTITUTE(d_correo!$B$2, ",", ".")))), G40), -F40)</f>
        <v>-187</v>
      </c>
      <c r="J40" s="2">
        <v>46164</v>
      </c>
      <c r="K40" s="3">
        <v>4.1666666666666701E-3</v>
      </c>
      <c r="L40" s="1">
        <v>1</v>
      </c>
    </row>
    <row r="41" spans="1:12" x14ac:dyDescent="0.25">
      <c r="A41" s="1">
        <v>1</v>
      </c>
      <c r="B41" s="1">
        <v>40</v>
      </c>
      <c r="C41" s="1">
        <v>5</v>
      </c>
      <c r="D41" s="1">
        <v>1</v>
      </c>
      <c r="E41" s="1">
        <v>12</v>
      </c>
      <c r="F41" s="15">
        <f>INT(VLOOKUP(D41,d_gema_valor!$A$2:$C$5,3,FALSE) * VLOOKUP(E41,d_deposito!$A$2:$B$5,2,FALSE))</f>
        <v>187</v>
      </c>
      <c r="G41">
        <v>49500</v>
      </c>
      <c r="H41" s="1">
        <v>2</v>
      </c>
      <c r="I41" s="15">
        <f>IF(H41=1, IF(L41=1, INT(G41 * (1 - VALUE(SUBSTITUTE(d_correo!$B$2, ",", ".")))), G41), -F41)</f>
        <v>-187</v>
      </c>
      <c r="J41" s="2">
        <v>46164</v>
      </c>
      <c r="K41" s="3">
        <v>4.1666666666666701E-3</v>
      </c>
      <c r="L41" s="1">
        <v>1</v>
      </c>
    </row>
    <row r="42" spans="1:12" x14ac:dyDescent="0.25">
      <c r="A42" s="1">
        <v>1</v>
      </c>
      <c r="B42" s="1">
        <v>41</v>
      </c>
      <c r="C42" s="1">
        <v>6</v>
      </c>
      <c r="D42" s="1">
        <v>1</v>
      </c>
      <c r="E42" s="1">
        <v>12</v>
      </c>
      <c r="F42" s="15">
        <f>INT(VLOOKUP(D42,d_gema_valor!$A$2:$C$5,3,FALSE) * VLOOKUP(E42,d_deposito!$A$2:$B$5,2,FALSE))</f>
        <v>187</v>
      </c>
      <c r="G42">
        <v>29600</v>
      </c>
      <c r="H42" s="1">
        <v>1</v>
      </c>
      <c r="I42" s="15">
        <f>IF(H42=1, IF(L42=1, INT(G42 * (1 - VALUE(SUBSTITUTE(d_correo!$B$2, ",", ".")))), G42), -F42)</f>
        <v>29378</v>
      </c>
      <c r="J42" s="2">
        <v>46164</v>
      </c>
      <c r="K42" s="3">
        <v>4.1666666666666701E-3</v>
      </c>
      <c r="L42" s="1">
        <v>1</v>
      </c>
    </row>
    <row r="43" spans="1:12" x14ac:dyDescent="0.25">
      <c r="A43" s="1">
        <v>1</v>
      </c>
      <c r="B43" s="1">
        <v>42</v>
      </c>
      <c r="C43" s="1">
        <v>6</v>
      </c>
      <c r="D43" s="1">
        <v>1</v>
      </c>
      <c r="E43" s="1">
        <v>12</v>
      </c>
      <c r="F43" s="15">
        <f>INT(VLOOKUP(D43,d_gema_valor!$A$2:$C$5,3,FALSE) * VLOOKUP(E43,d_deposito!$A$2:$B$5,2,FALSE))</f>
        <v>187</v>
      </c>
      <c r="G43">
        <v>29600</v>
      </c>
      <c r="H43" s="1">
        <v>2</v>
      </c>
      <c r="I43" s="15">
        <f>IF(H43=1, IF(L43=1, INT(G43 * (1 - VALUE(SUBSTITUTE(d_correo!$B$2, ",", ".")))), G43), -F43)</f>
        <v>-187</v>
      </c>
      <c r="J43" s="2">
        <v>46164</v>
      </c>
      <c r="K43" s="3">
        <v>4.1666666666666701E-3</v>
      </c>
      <c r="L43" s="1">
        <v>1</v>
      </c>
    </row>
    <row r="44" spans="1:12" x14ac:dyDescent="0.25">
      <c r="A44" s="1">
        <v>1</v>
      </c>
      <c r="B44" s="1">
        <v>43</v>
      </c>
      <c r="C44" s="1">
        <v>6</v>
      </c>
      <c r="D44" s="1">
        <v>1</v>
      </c>
      <c r="E44" s="1">
        <v>12</v>
      </c>
      <c r="F44" s="15">
        <f>INT(VLOOKUP(D44,d_gema_valor!$A$2:$C$5,3,FALSE) * VLOOKUP(E44,d_deposito!$A$2:$B$5,2,FALSE))</f>
        <v>187</v>
      </c>
      <c r="G44">
        <v>29600</v>
      </c>
      <c r="H44" s="1">
        <v>2</v>
      </c>
      <c r="I44" s="15">
        <f>IF(H44=1, IF(L44=1, INT(G44 * (1 - VALUE(SUBSTITUTE(d_correo!$B$2, ",", ".")))), G44), -F44)</f>
        <v>-187</v>
      </c>
      <c r="J44" s="2">
        <v>46164</v>
      </c>
      <c r="K44" s="3">
        <v>4.1666666666666701E-3</v>
      </c>
      <c r="L44" s="1">
        <v>1</v>
      </c>
    </row>
    <row r="45" spans="1:12" x14ac:dyDescent="0.25">
      <c r="A45" s="1">
        <v>1</v>
      </c>
      <c r="B45" s="1">
        <v>44</v>
      </c>
      <c r="C45" s="1">
        <v>6</v>
      </c>
      <c r="D45" s="1">
        <v>1</v>
      </c>
      <c r="E45" s="1">
        <v>12</v>
      </c>
      <c r="F45" s="15">
        <f>INT(VLOOKUP(D45,d_gema_valor!$A$2:$C$5,3,FALSE) * VLOOKUP(E45,d_deposito!$A$2:$B$5,2,FALSE))</f>
        <v>187</v>
      </c>
      <c r="G45">
        <v>29600</v>
      </c>
      <c r="H45" s="1">
        <v>2</v>
      </c>
      <c r="I45" s="15">
        <f>IF(H45=1, IF(L45=1, INT(G45 * (1 - VALUE(SUBSTITUTE(d_correo!$B$2, ",", ".")))), G45), -F45)</f>
        <v>-187</v>
      </c>
      <c r="J45" s="2">
        <v>46164</v>
      </c>
      <c r="K45" s="3">
        <v>4.1666666666666701E-3</v>
      </c>
      <c r="L45" s="1">
        <v>1</v>
      </c>
    </row>
    <row r="46" spans="1:12" x14ac:dyDescent="0.25">
      <c r="A46" s="1">
        <v>1</v>
      </c>
      <c r="B46" s="1">
        <v>45</v>
      </c>
      <c r="C46" s="1">
        <v>1</v>
      </c>
      <c r="D46" s="1">
        <v>1</v>
      </c>
      <c r="E46" s="1">
        <v>12</v>
      </c>
      <c r="F46" s="15">
        <f>INT(VLOOKUP(D46,d_gema_valor!$A$2:$C$5,3,FALSE) * VLOOKUP(E46,d_deposito!$A$2:$B$5,2,FALSE))</f>
        <v>187</v>
      </c>
      <c r="G46">
        <v>89000</v>
      </c>
      <c r="H46" s="1">
        <v>2</v>
      </c>
      <c r="I46" s="15">
        <f>IF(H46=1, IF(L46=1, INT(G46 * (1 - VALUE(SUBSTITUTE(d_correo!$B$2, ",", ".")))), G46), -F46)</f>
        <v>-187</v>
      </c>
      <c r="J46" s="2">
        <v>46164</v>
      </c>
      <c r="K46" s="3">
        <v>0.68611111111111101</v>
      </c>
      <c r="L46" s="1">
        <v>1</v>
      </c>
    </row>
    <row r="47" spans="1:12" x14ac:dyDescent="0.25">
      <c r="A47" s="1">
        <v>1</v>
      </c>
      <c r="B47" s="1">
        <v>46</v>
      </c>
      <c r="C47" s="1">
        <v>1</v>
      </c>
      <c r="D47" s="1">
        <v>1</v>
      </c>
      <c r="E47" s="1">
        <v>12</v>
      </c>
      <c r="F47" s="15">
        <f>INT(VLOOKUP(D47,d_gema_valor!$A$2:$C$5,3,FALSE) * VLOOKUP(E47,d_deposito!$A$2:$B$5,2,FALSE))</f>
        <v>187</v>
      </c>
      <c r="G47">
        <v>89000</v>
      </c>
      <c r="H47" s="1">
        <v>2</v>
      </c>
      <c r="I47" s="15">
        <f>IF(H47=1, IF(L47=1, INT(G47 * (1 - VALUE(SUBSTITUTE(d_correo!$B$2, ",", ".")))), G47), -F47)</f>
        <v>-187</v>
      </c>
      <c r="J47" s="2">
        <v>46164</v>
      </c>
      <c r="K47" s="3">
        <v>0.68611111111111101</v>
      </c>
      <c r="L47" s="1">
        <v>1</v>
      </c>
    </row>
    <row r="48" spans="1:12" x14ac:dyDescent="0.25">
      <c r="A48" s="1">
        <v>1</v>
      </c>
      <c r="B48" s="1">
        <v>47</v>
      </c>
      <c r="C48" s="1">
        <v>1</v>
      </c>
      <c r="D48" s="1">
        <v>1</v>
      </c>
      <c r="E48" s="1">
        <v>12</v>
      </c>
      <c r="F48" s="15">
        <f>INT(VLOOKUP(D48,d_gema_valor!$A$2:$C$5,3,FALSE) * VLOOKUP(E48,d_deposito!$A$2:$B$5,2,FALSE))</f>
        <v>187</v>
      </c>
      <c r="G48">
        <v>89000</v>
      </c>
      <c r="H48" s="1">
        <v>2</v>
      </c>
      <c r="I48" s="15">
        <f>IF(H48=1, IF(L48=1, INT(G48 * (1 - VALUE(SUBSTITUTE(d_correo!$B$2, ",", ".")))), G48), -F48)</f>
        <v>-187</v>
      </c>
      <c r="J48" s="2">
        <v>46164</v>
      </c>
      <c r="K48" s="3">
        <v>0.68611111111111101</v>
      </c>
      <c r="L48" s="1">
        <v>1</v>
      </c>
    </row>
    <row r="49" spans="1:12" x14ac:dyDescent="0.25">
      <c r="A49" s="1">
        <v>1</v>
      </c>
      <c r="B49" s="1">
        <v>48</v>
      </c>
      <c r="C49" s="1">
        <v>3</v>
      </c>
      <c r="D49" s="1">
        <v>1</v>
      </c>
      <c r="E49" s="1">
        <v>12</v>
      </c>
      <c r="F49" s="15">
        <f>INT(VLOOKUP(D49,d_gema_valor!$A$2:$C$5,3,FALSE) * VLOOKUP(E49,d_deposito!$A$2:$B$5,2,FALSE))</f>
        <v>187</v>
      </c>
      <c r="G49">
        <v>59000</v>
      </c>
      <c r="H49" s="1">
        <v>2</v>
      </c>
      <c r="I49" s="15">
        <f>IF(H49=1, IF(L49=1, INT(G49 * (1 - VALUE(SUBSTITUTE(d_correo!$B$2, ",", ".")))), G49), -F49)</f>
        <v>-187</v>
      </c>
      <c r="J49" s="2">
        <v>46164</v>
      </c>
      <c r="K49" s="3">
        <v>0.68611111111111101</v>
      </c>
      <c r="L49" s="1">
        <v>1</v>
      </c>
    </row>
    <row r="50" spans="1:12" x14ac:dyDescent="0.25">
      <c r="A50" s="1">
        <v>1</v>
      </c>
      <c r="B50" s="1">
        <v>49</v>
      </c>
      <c r="C50" s="1">
        <v>3</v>
      </c>
      <c r="D50" s="1">
        <v>1</v>
      </c>
      <c r="E50" s="1">
        <v>12</v>
      </c>
      <c r="F50" s="15">
        <f>INT(VLOOKUP(D50,d_gema_valor!$A$2:$C$5,3,FALSE) * VLOOKUP(E50,d_deposito!$A$2:$B$5,2,FALSE))</f>
        <v>187</v>
      </c>
      <c r="G50">
        <v>59000</v>
      </c>
      <c r="H50" s="1">
        <v>2</v>
      </c>
      <c r="I50" s="15">
        <f>IF(H50=1, IF(L50=1, INT(G50 * (1 - VALUE(SUBSTITUTE(d_correo!$B$2, ",", ".")))), G50), -F50)</f>
        <v>-187</v>
      </c>
      <c r="J50" s="2">
        <v>46164</v>
      </c>
      <c r="K50" s="3">
        <v>0.68611111111111101</v>
      </c>
      <c r="L50" s="1">
        <v>1</v>
      </c>
    </row>
    <row r="51" spans="1:12" x14ac:dyDescent="0.25">
      <c r="A51" s="1">
        <v>1</v>
      </c>
      <c r="B51" s="1">
        <v>50</v>
      </c>
      <c r="C51" s="1">
        <v>3</v>
      </c>
      <c r="D51" s="1">
        <v>1</v>
      </c>
      <c r="E51" s="1">
        <v>12</v>
      </c>
      <c r="F51" s="15">
        <f>INT(VLOOKUP(D51,d_gema_valor!$A$2:$C$5,3,FALSE) * VLOOKUP(E51,d_deposito!$A$2:$B$5,2,FALSE))</f>
        <v>187</v>
      </c>
      <c r="G51">
        <v>59000</v>
      </c>
      <c r="H51" s="1">
        <v>2</v>
      </c>
      <c r="I51" s="15">
        <f>IF(H51=1, IF(L51=1, INT(G51 * (1 - VALUE(SUBSTITUTE(d_correo!$B$2, ",", ".")))), G51), -F51)</f>
        <v>-187</v>
      </c>
      <c r="J51" s="2">
        <v>46164</v>
      </c>
      <c r="K51" s="3">
        <v>0.68611111111111101</v>
      </c>
      <c r="L51" s="1">
        <v>1</v>
      </c>
    </row>
    <row r="52" spans="1:12" x14ac:dyDescent="0.25">
      <c r="A52" s="1">
        <v>1</v>
      </c>
      <c r="B52" s="1">
        <v>51</v>
      </c>
      <c r="C52" s="1">
        <v>3</v>
      </c>
      <c r="D52" s="1">
        <v>1</v>
      </c>
      <c r="E52" s="1">
        <v>12</v>
      </c>
      <c r="F52" s="15">
        <f>INT(VLOOKUP(D52,d_gema_valor!$A$2:$C$5,3,FALSE) * VLOOKUP(E52,d_deposito!$A$2:$B$5,2,FALSE))</f>
        <v>187</v>
      </c>
      <c r="G52">
        <v>59000</v>
      </c>
      <c r="H52" s="1">
        <v>2</v>
      </c>
      <c r="I52" s="15">
        <f>IF(H52=1, IF(L52=1, INT(G52 * (1 - VALUE(SUBSTITUTE(d_correo!$B$2, ",", ".")))), G52), -F52)</f>
        <v>-187</v>
      </c>
      <c r="J52" s="2">
        <v>46164</v>
      </c>
      <c r="K52" s="3">
        <v>0.68611111111111101</v>
      </c>
      <c r="L52" s="1">
        <v>1</v>
      </c>
    </row>
    <row r="53" spans="1:12" x14ac:dyDescent="0.25">
      <c r="A53" s="1">
        <v>1</v>
      </c>
      <c r="B53" s="1">
        <v>52</v>
      </c>
      <c r="C53" s="1">
        <v>3</v>
      </c>
      <c r="D53" s="1">
        <v>1</v>
      </c>
      <c r="E53" s="1">
        <v>12</v>
      </c>
      <c r="F53" s="15">
        <f>INT(VLOOKUP(D53,d_gema_valor!$A$2:$C$5,3,FALSE) * VLOOKUP(E53,d_deposito!$A$2:$B$5,2,FALSE))</f>
        <v>187</v>
      </c>
      <c r="G53">
        <v>59000</v>
      </c>
      <c r="H53" s="1">
        <v>2</v>
      </c>
      <c r="I53" s="15">
        <f>IF(H53=1, IF(L53=1, INT(G53 * (1 - VALUE(SUBSTITUTE(d_correo!$B$2, ",", ".")))), G53), -F53)</f>
        <v>-187</v>
      </c>
      <c r="J53" s="2">
        <v>46164</v>
      </c>
      <c r="K53" s="3">
        <v>0.68611111111111101</v>
      </c>
      <c r="L53" s="1">
        <v>1</v>
      </c>
    </row>
    <row r="54" spans="1:12" x14ac:dyDescent="0.25">
      <c r="A54" s="1">
        <v>1</v>
      </c>
      <c r="B54" s="1">
        <v>53</v>
      </c>
      <c r="C54" s="1">
        <v>3</v>
      </c>
      <c r="D54" s="1">
        <v>1</v>
      </c>
      <c r="E54" s="1">
        <v>12</v>
      </c>
      <c r="F54" s="15">
        <f>INT(VLOOKUP(D54,d_gema_valor!$A$2:$C$5,3,FALSE) * VLOOKUP(E54,d_deposito!$A$2:$B$5,2,FALSE))</f>
        <v>187</v>
      </c>
      <c r="G54">
        <v>59000</v>
      </c>
      <c r="H54" s="1">
        <v>2</v>
      </c>
      <c r="I54" s="15">
        <f>IF(H54=1, IF(L54=1, INT(G54 * (1 - VALUE(SUBSTITUTE(d_correo!$B$2, ",", ".")))), G54), -F54)</f>
        <v>-187</v>
      </c>
      <c r="J54" s="2">
        <v>46164</v>
      </c>
      <c r="K54" s="3">
        <v>0.68611111111111101</v>
      </c>
      <c r="L54" s="1">
        <v>1</v>
      </c>
    </row>
    <row r="55" spans="1:12" x14ac:dyDescent="0.25">
      <c r="A55" s="1">
        <v>1</v>
      </c>
      <c r="B55" s="1">
        <v>54</v>
      </c>
      <c r="C55" s="1">
        <v>5</v>
      </c>
      <c r="D55" s="1">
        <v>1</v>
      </c>
      <c r="E55" s="1">
        <v>12</v>
      </c>
      <c r="F55" s="15">
        <f>INT(VLOOKUP(D55,d_gema_valor!$A$2:$C$5,3,FALSE) * VLOOKUP(E55,d_deposito!$A$2:$B$5,2,FALSE))</f>
        <v>187</v>
      </c>
      <c r="G55">
        <v>39500</v>
      </c>
      <c r="H55" s="1">
        <v>1</v>
      </c>
      <c r="I55" s="15">
        <f>IF(H55=1, IF(L55=1, INT(G55 * (1 - VALUE(SUBSTITUTE(d_correo!$B$2, ",", ".")))), G55), -F55)</f>
        <v>39203</v>
      </c>
      <c r="J55" s="2">
        <v>46164</v>
      </c>
      <c r="K55" s="3">
        <v>0.68611111111111101</v>
      </c>
      <c r="L55" s="1">
        <v>1</v>
      </c>
    </row>
    <row r="56" spans="1:12" x14ac:dyDescent="0.25">
      <c r="A56" s="1">
        <v>1</v>
      </c>
      <c r="B56" s="1">
        <v>55</v>
      </c>
      <c r="C56" s="1">
        <v>5</v>
      </c>
      <c r="D56" s="1">
        <v>1</v>
      </c>
      <c r="E56" s="1">
        <v>12</v>
      </c>
      <c r="F56" s="15">
        <f>INT(VLOOKUP(D56,d_gema_valor!$A$2:$C$5,3,FALSE) * VLOOKUP(E56,d_deposito!$A$2:$B$5,2,FALSE))</f>
        <v>187</v>
      </c>
      <c r="G56">
        <v>39500</v>
      </c>
      <c r="H56" s="1">
        <v>2</v>
      </c>
      <c r="I56" s="15">
        <f>IF(H56=1, IF(L56=1, INT(G56 * (1 - VALUE(SUBSTITUTE(d_correo!$B$2, ",", ".")))), G56), -F56)</f>
        <v>-187</v>
      </c>
      <c r="J56" s="2">
        <v>46164</v>
      </c>
      <c r="K56" s="3">
        <v>0.68611111111111101</v>
      </c>
      <c r="L56" s="1">
        <v>1</v>
      </c>
    </row>
    <row r="57" spans="1:12" x14ac:dyDescent="0.25">
      <c r="A57" s="1">
        <v>1</v>
      </c>
      <c r="B57" s="1">
        <v>56</v>
      </c>
      <c r="C57" s="1">
        <v>5</v>
      </c>
      <c r="D57" s="1">
        <v>1</v>
      </c>
      <c r="E57" s="1">
        <v>12</v>
      </c>
      <c r="F57" s="15">
        <f>INT(VLOOKUP(D57,d_gema_valor!$A$2:$C$5,3,FALSE) * VLOOKUP(E57,d_deposito!$A$2:$B$5,2,FALSE))</f>
        <v>187</v>
      </c>
      <c r="G57">
        <v>39500</v>
      </c>
      <c r="H57" s="1">
        <v>2</v>
      </c>
      <c r="I57" s="15">
        <f>IF(H57=1, IF(L57=1, INT(G57 * (1 - VALUE(SUBSTITUTE(d_correo!$B$2, ",", ".")))), G57), -F57)</f>
        <v>-187</v>
      </c>
      <c r="J57" s="2">
        <v>46164</v>
      </c>
      <c r="K57" s="3">
        <v>0.68611111111111101</v>
      </c>
      <c r="L57" s="1">
        <v>1</v>
      </c>
    </row>
    <row r="58" spans="1:12" x14ac:dyDescent="0.25">
      <c r="A58" s="1">
        <v>1</v>
      </c>
      <c r="B58" s="1">
        <v>57</v>
      </c>
      <c r="C58" s="1">
        <v>5</v>
      </c>
      <c r="D58" s="1">
        <v>1</v>
      </c>
      <c r="E58" s="1">
        <v>12</v>
      </c>
      <c r="F58" s="15">
        <f>INT(VLOOKUP(D58,d_gema_valor!$A$2:$C$5,3,FALSE) * VLOOKUP(E58,d_deposito!$A$2:$B$5,2,FALSE))</f>
        <v>187</v>
      </c>
      <c r="G58">
        <v>39500</v>
      </c>
      <c r="H58" s="1">
        <v>2</v>
      </c>
      <c r="I58" s="15">
        <f>IF(H58=1, IF(L58=1, INT(G58 * (1 - VALUE(SUBSTITUTE(d_correo!$B$2, ",", ".")))), G58), -F58)</f>
        <v>-187</v>
      </c>
      <c r="J58" s="2">
        <v>46164</v>
      </c>
      <c r="K58" s="3">
        <v>0.68611111111111101</v>
      </c>
      <c r="L58" s="1">
        <v>1</v>
      </c>
    </row>
    <row r="59" spans="1:12" x14ac:dyDescent="0.25">
      <c r="A59" s="1">
        <v>1</v>
      </c>
      <c r="B59" s="1">
        <v>58</v>
      </c>
      <c r="C59" s="1">
        <v>6</v>
      </c>
      <c r="D59" s="1">
        <v>1</v>
      </c>
      <c r="E59" s="1">
        <v>12</v>
      </c>
      <c r="F59" s="15">
        <f>INT(VLOOKUP(D59,d_gema_valor!$A$2:$C$5,3,FALSE) * VLOOKUP(E59,d_deposito!$A$2:$B$5,2,FALSE))</f>
        <v>187</v>
      </c>
      <c r="G59">
        <v>29200</v>
      </c>
      <c r="H59" s="1">
        <v>2</v>
      </c>
      <c r="I59" s="15">
        <f>IF(H59=1, IF(L59=1, INT(G59 * (1 - VALUE(SUBSTITUTE(d_correo!$B$2, ",", ".")))), G59), -F59)</f>
        <v>-187</v>
      </c>
      <c r="J59" s="2">
        <v>46164</v>
      </c>
      <c r="K59" s="3">
        <v>0.68611111111111101</v>
      </c>
      <c r="L59" s="1">
        <v>1</v>
      </c>
    </row>
    <row r="60" spans="1:12" x14ac:dyDescent="0.25">
      <c r="A60" s="1">
        <v>1</v>
      </c>
      <c r="B60" s="1">
        <v>59</v>
      </c>
      <c r="C60" s="1">
        <v>6</v>
      </c>
      <c r="D60" s="1">
        <v>1</v>
      </c>
      <c r="E60" s="1">
        <v>12</v>
      </c>
      <c r="F60" s="15">
        <f>INT(VLOOKUP(D60,d_gema_valor!$A$2:$C$5,3,FALSE) * VLOOKUP(E60,d_deposito!$A$2:$B$5,2,FALSE))</f>
        <v>187</v>
      </c>
      <c r="G60">
        <v>29200</v>
      </c>
      <c r="H60" s="1">
        <v>2</v>
      </c>
      <c r="I60" s="15">
        <f>IF(H60=1, IF(L60=1, INT(G60 * (1 - VALUE(SUBSTITUTE(d_correo!$B$2, ",", ".")))), G60), -F60)</f>
        <v>-187</v>
      </c>
      <c r="J60" s="2">
        <v>46164</v>
      </c>
      <c r="K60" s="3">
        <v>0.68611111111111101</v>
      </c>
      <c r="L60" s="1">
        <v>1</v>
      </c>
    </row>
    <row r="61" spans="1:12" x14ac:dyDescent="0.25">
      <c r="A61" s="1">
        <v>1</v>
      </c>
      <c r="B61" s="1">
        <v>60</v>
      </c>
      <c r="C61" s="1">
        <v>6</v>
      </c>
      <c r="D61" s="1">
        <v>1</v>
      </c>
      <c r="E61" s="1">
        <v>12</v>
      </c>
      <c r="F61" s="15">
        <f>INT(VLOOKUP(D61,d_gema_valor!$A$2:$C$5,3,FALSE) * VLOOKUP(E61,d_deposito!$A$2:$B$5,2,FALSE))</f>
        <v>187</v>
      </c>
      <c r="G61">
        <v>29200</v>
      </c>
      <c r="H61" s="1">
        <v>2</v>
      </c>
      <c r="I61" s="15">
        <f>IF(H61=1, IF(L61=1, INT(G61 * (1 - VALUE(SUBSTITUTE(d_correo!$B$2, ",", ".")))), G61), -F61)</f>
        <v>-187</v>
      </c>
      <c r="J61" s="2">
        <v>46164</v>
      </c>
      <c r="K61" s="3">
        <v>0.68611111111111101</v>
      </c>
      <c r="L61" s="1">
        <v>1</v>
      </c>
    </row>
    <row r="62" spans="1:12" x14ac:dyDescent="0.25">
      <c r="A62" s="1">
        <v>1</v>
      </c>
      <c r="B62" s="1">
        <v>61</v>
      </c>
      <c r="C62" s="1">
        <v>1</v>
      </c>
      <c r="D62" s="1">
        <v>1</v>
      </c>
      <c r="E62" s="1">
        <v>12</v>
      </c>
      <c r="F62" s="15">
        <f>INT(VLOOKUP(D62,d_gema_valor!$A$2:$C$5,3,FALSE) * VLOOKUP(E62,d_deposito!$A$2:$B$5,2,FALSE))</f>
        <v>187</v>
      </c>
      <c r="G62">
        <v>99000</v>
      </c>
      <c r="H62" s="1">
        <v>1</v>
      </c>
      <c r="I62" s="15">
        <f>IF(H62=1, IF(L62=1, INT(G62 * (1 - VALUE(SUBSTITUTE(d_correo!$B$2, ",", ".")))), G62), -F62)</f>
        <v>98257</v>
      </c>
      <c r="J62" s="2">
        <v>46165</v>
      </c>
      <c r="K62" s="3">
        <v>0.8125</v>
      </c>
      <c r="L62" s="1">
        <v>1</v>
      </c>
    </row>
    <row r="63" spans="1:12" x14ac:dyDescent="0.25">
      <c r="A63" s="1">
        <v>1</v>
      </c>
      <c r="B63" s="1">
        <v>62</v>
      </c>
      <c r="C63" s="1">
        <v>1</v>
      </c>
      <c r="D63" s="1">
        <v>1</v>
      </c>
      <c r="E63" s="1">
        <v>12</v>
      </c>
      <c r="F63" s="15">
        <f>INT(VLOOKUP(D63,d_gema_valor!$A$2:$C$5,3,FALSE) * VLOOKUP(E63,d_deposito!$A$2:$B$5,2,FALSE))</f>
        <v>187</v>
      </c>
      <c r="G63">
        <v>99000</v>
      </c>
      <c r="H63" s="1">
        <v>2</v>
      </c>
      <c r="I63" s="15">
        <f>IF(H63=1, IF(L63=1, INT(G63 * (1 - VALUE(SUBSTITUTE(d_correo!$B$2, ",", ".")))), G63), -F63)</f>
        <v>-187</v>
      </c>
      <c r="J63" s="2">
        <v>46165</v>
      </c>
      <c r="K63" s="3">
        <v>0.8125</v>
      </c>
      <c r="L63" s="1">
        <v>1</v>
      </c>
    </row>
    <row r="64" spans="1:12" x14ac:dyDescent="0.25">
      <c r="A64" s="1">
        <v>1</v>
      </c>
      <c r="B64" s="1">
        <v>63</v>
      </c>
      <c r="C64" s="1">
        <v>1</v>
      </c>
      <c r="D64" s="1">
        <v>1</v>
      </c>
      <c r="E64" s="1">
        <v>12</v>
      </c>
      <c r="F64" s="15">
        <f>INT(VLOOKUP(D64,d_gema_valor!$A$2:$C$5,3,FALSE) * VLOOKUP(E64,d_deposito!$A$2:$B$5,2,FALSE))</f>
        <v>187</v>
      </c>
      <c r="G64">
        <v>99000</v>
      </c>
      <c r="H64" s="1">
        <v>2</v>
      </c>
      <c r="I64" s="15">
        <f>IF(H64=1, IF(L64=1, INT(G64 * (1 - VALUE(SUBSTITUTE(d_correo!$B$2, ",", ".")))), G64), -F64)</f>
        <v>-187</v>
      </c>
      <c r="J64" s="2">
        <v>46165</v>
      </c>
      <c r="K64" s="3">
        <v>0.8125</v>
      </c>
      <c r="L64" s="1">
        <v>1</v>
      </c>
    </row>
    <row r="65" spans="1:12" x14ac:dyDescent="0.25">
      <c r="A65" s="1">
        <v>1</v>
      </c>
      <c r="B65" s="1">
        <v>64</v>
      </c>
      <c r="C65" s="1">
        <v>3</v>
      </c>
      <c r="D65" s="1">
        <v>1</v>
      </c>
      <c r="E65" s="1">
        <v>12</v>
      </c>
      <c r="F65" s="15">
        <f>INT(VLOOKUP(D65,d_gema_valor!$A$2:$C$5,3,FALSE) * VLOOKUP(E65,d_deposito!$A$2:$B$5,2,FALSE))</f>
        <v>187</v>
      </c>
      <c r="G65">
        <v>56500</v>
      </c>
      <c r="H65" s="1">
        <v>2</v>
      </c>
      <c r="I65" s="15">
        <f>IF(H65=1, IF(L65=1, INT(G65 * (1 - VALUE(SUBSTITUTE(d_correo!$B$2, ",", ".")))), G65), -F65)</f>
        <v>-187</v>
      </c>
      <c r="J65" s="2">
        <v>46165</v>
      </c>
      <c r="K65" s="3">
        <v>0.8125</v>
      </c>
      <c r="L65" s="1">
        <v>1</v>
      </c>
    </row>
    <row r="66" spans="1:12" x14ac:dyDescent="0.25">
      <c r="A66" s="1">
        <v>1</v>
      </c>
      <c r="B66" s="1">
        <v>65</v>
      </c>
      <c r="C66" s="1">
        <v>3</v>
      </c>
      <c r="D66" s="1">
        <v>1</v>
      </c>
      <c r="E66" s="1">
        <v>12</v>
      </c>
      <c r="F66" s="15">
        <f>INT(VLOOKUP(D66,d_gema_valor!$A$2:$C$5,3,FALSE) * VLOOKUP(E66,d_deposito!$A$2:$B$5,2,FALSE))</f>
        <v>187</v>
      </c>
      <c r="G66">
        <v>56500</v>
      </c>
      <c r="H66" s="1">
        <v>2</v>
      </c>
      <c r="I66" s="15">
        <f>IF(H66=1, IF(L66=1, INT(G66 * (1 - VALUE(SUBSTITUTE(d_correo!$B$2, ",", ".")))), G66), -F66)</f>
        <v>-187</v>
      </c>
      <c r="J66" s="2">
        <v>46165</v>
      </c>
      <c r="K66" s="3">
        <v>0.8125</v>
      </c>
      <c r="L66" s="1">
        <v>1</v>
      </c>
    </row>
    <row r="67" spans="1:12" x14ac:dyDescent="0.25">
      <c r="A67" s="1">
        <v>1</v>
      </c>
      <c r="B67" s="1">
        <v>66</v>
      </c>
      <c r="C67" s="1">
        <v>3</v>
      </c>
      <c r="D67" s="1">
        <v>1</v>
      </c>
      <c r="E67" s="1">
        <v>12</v>
      </c>
      <c r="F67" s="15">
        <f>INT(VLOOKUP(D67,d_gema_valor!$A$2:$C$5,3,FALSE) * VLOOKUP(E67,d_deposito!$A$2:$B$5,2,FALSE))</f>
        <v>187</v>
      </c>
      <c r="G67">
        <v>56500</v>
      </c>
      <c r="H67" s="1">
        <v>2</v>
      </c>
      <c r="I67" s="15">
        <f>IF(H67=1, IF(L67=1, INT(G67 * (1 - VALUE(SUBSTITUTE(d_correo!$B$2, ",", ".")))), G67), -F67)</f>
        <v>-187</v>
      </c>
      <c r="J67" s="2">
        <v>46165</v>
      </c>
      <c r="K67" s="3">
        <v>0.8125</v>
      </c>
      <c r="L67" s="1">
        <v>1</v>
      </c>
    </row>
    <row r="68" spans="1:12" x14ac:dyDescent="0.25">
      <c r="A68" s="1">
        <v>1</v>
      </c>
      <c r="B68" s="1">
        <v>67</v>
      </c>
      <c r="C68" s="1">
        <v>3</v>
      </c>
      <c r="D68" s="1">
        <v>1</v>
      </c>
      <c r="E68" s="1">
        <v>12</v>
      </c>
      <c r="F68" s="15">
        <f>INT(VLOOKUP(D68,d_gema_valor!$A$2:$C$5,3,FALSE) * VLOOKUP(E68,d_deposito!$A$2:$B$5,2,FALSE))</f>
        <v>187</v>
      </c>
      <c r="G68">
        <v>56500</v>
      </c>
      <c r="H68" s="1">
        <v>2</v>
      </c>
      <c r="I68" s="15">
        <f>IF(H68=1, IF(L68=1, INT(G68 * (1 - VALUE(SUBSTITUTE(d_correo!$B$2, ",", ".")))), G68), -F68)</f>
        <v>-187</v>
      </c>
      <c r="J68" s="2">
        <v>46165</v>
      </c>
      <c r="K68" s="3">
        <v>0.8125</v>
      </c>
      <c r="L68" s="1">
        <v>1</v>
      </c>
    </row>
    <row r="69" spans="1:12" x14ac:dyDescent="0.25">
      <c r="A69" s="1">
        <v>1</v>
      </c>
      <c r="B69" s="1">
        <v>68</v>
      </c>
      <c r="C69" s="1">
        <v>3</v>
      </c>
      <c r="D69" s="1">
        <v>1</v>
      </c>
      <c r="E69" s="1">
        <v>12</v>
      </c>
      <c r="F69" s="15">
        <f>INT(VLOOKUP(D69,d_gema_valor!$A$2:$C$5,3,FALSE) * VLOOKUP(E69,d_deposito!$A$2:$B$5,2,FALSE))</f>
        <v>187</v>
      </c>
      <c r="G69">
        <v>56500</v>
      </c>
      <c r="H69" s="1">
        <v>2</v>
      </c>
      <c r="I69" s="15">
        <f>IF(H69=1, IF(L69=1, INT(G69 * (1 - VALUE(SUBSTITUTE(d_correo!$B$2, ",", ".")))), G69), -F69)</f>
        <v>-187</v>
      </c>
      <c r="J69" s="2">
        <v>46165</v>
      </c>
      <c r="K69" s="3">
        <v>0.8125</v>
      </c>
      <c r="L69" s="1">
        <v>1</v>
      </c>
    </row>
    <row r="70" spans="1:12" x14ac:dyDescent="0.25">
      <c r="A70" s="1">
        <v>1</v>
      </c>
      <c r="B70" s="1">
        <v>69</v>
      </c>
      <c r="C70" s="1">
        <v>3</v>
      </c>
      <c r="D70" s="1">
        <v>1</v>
      </c>
      <c r="E70" s="1">
        <v>12</v>
      </c>
      <c r="F70" s="15">
        <f>INT(VLOOKUP(D70,d_gema_valor!$A$2:$C$5,3,FALSE) * VLOOKUP(E70,d_deposito!$A$2:$B$5,2,FALSE))</f>
        <v>187</v>
      </c>
      <c r="G70">
        <v>56500</v>
      </c>
      <c r="H70" s="1">
        <v>2</v>
      </c>
      <c r="I70" s="15">
        <f>IF(H70=1, IF(L70=1, INT(G70 * (1 - VALUE(SUBSTITUTE(d_correo!$B$2, ",", ".")))), G70), -F70)</f>
        <v>-187</v>
      </c>
      <c r="J70" s="2">
        <v>46165</v>
      </c>
      <c r="K70" s="3">
        <v>0.8125</v>
      </c>
      <c r="L70" s="1">
        <v>1</v>
      </c>
    </row>
    <row r="71" spans="1:12" x14ac:dyDescent="0.25">
      <c r="A71" s="1">
        <v>1</v>
      </c>
      <c r="B71" s="1">
        <v>70</v>
      </c>
      <c r="C71" s="1">
        <v>5</v>
      </c>
      <c r="D71" s="1">
        <v>1</v>
      </c>
      <c r="E71" s="1">
        <v>12</v>
      </c>
      <c r="F71" s="15">
        <f>INT(VLOOKUP(D71,d_gema_valor!$A$2:$C$5,3,FALSE) * VLOOKUP(E71,d_deposito!$A$2:$B$5,2,FALSE))</f>
        <v>187</v>
      </c>
      <c r="G71">
        <v>49500</v>
      </c>
      <c r="H71" s="1">
        <v>2</v>
      </c>
      <c r="I71" s="15">
        <f>IF(H71=1, IF(L71=1, INT(G71 * (1 - VALUE(SUBSTITUTE(d_correo!$B$2, ",", ".")))), G71), -F71)</f>
        <v>-187</v>
      </c>
      <c r="J71" s="2">
        <v>46165</v>
      </c>
      <c r="K71" s="3">
        <v>0.8125</v>
      </c>
      <c r="L71" s="1">
        <v>1</v>
      </c>
    </row>
    <row r="72" spans="1:12" x14ac:dyDescent="0.25">
      <c r="A72" s="1">
        <v>1</v>
      </c>
      <c r="B72" s="1">
        <v>71</v>
      </c>
      <c r="C72" s="1">
        <v>5</v>
      </c>
      <c r="D72" s="1">
        <v>1</v>
      </c>
      <c r="E72" s="1">
        <v>12</v>
      </c>
      <c r="F72" s="15">
        <f>INT(VLOOKUP(D72,d_gema_valor!$A$2:$C$5,3,FALSE) * VLOOKUP(E72,d_deposito!$A$2:$B$5,2,FALSE))</f>
        <v>187</v>
      </c>
      <c r="G72">
        <v>49500</v>
      </c>
      <c r="H72" s="1">
        <v>2</v>
      </c>
      <c r="I72" s="15">
        <f>IF(H72=1, IF(L72=1, INT(G72 * (1 - VALUE(SUBSTITUTE(d_correo!$B$2, ",", ".")))), G72), -F72)</f>
        <v>-187</v>
      </c>
      <c r="J72" s="2">
        <v>46165</v>
      </c>
      <c r="K72" s="3">
        <v>0.8125</v>
      </c>
      <c r="L72" s="1">
        <v>1</v>
      </c>
    </row>
    <row r="73" spans="1:12" x14ac:dyDescent="0.25">
      <c r="A73" s="1">
        <v>1</v>
      </c>
      <c r="B73" s="1">
        <v>72</v>
      </c>
      <c r="C73" s="1">
        <v>5</v>
      </c>
      <c r="D73" s="1">
        <v>1</v>
      </c>
      <c r="E73" s="1">
        <v>12</v>
      </c>
      <c r="F73" s="15">
        <f>INT(VLOOKUP(D73,d_gema_valor!$A$2:$C$5,3,FALSE) * VLOOKUP(E73,d_deposito!$A$2:$B$5,2,FALSE))</f>
        <v>187</v>
      </c>
      <c r="G73">
        <v>49500</v>
      </c>
      <c r="H73" s="1">
        <v>2</v>
      </c>
      <c r="I73" s="15">
        <f>IF(H73=1, IF(L73=1, INT(G73 * (1 - VALUE(SUBSTITUTE(d_correo!$B$2, ",", ".")))), G73), -F73)</f>
        <v>-187</v>
      </c>
      <c r="J73" s="2">
        <v>46165</v>
      </c>
      <c r="K73" s="3">
        <v>0.8125</v>
      </c>
      <c r="L73" s="1">
        <v>1</v>
      </c>
    </row>
    <row r="74" spans="1:12" x14ac:dyDescent="0.25">
      <c r="A74" s="1">
        <v>1</v>
      </c>
      <c r="B74" s="1">
        <v>73</v>
      </c>
      <c r="C74" s="1">
        <v>6</v>
      </c>
      <c r="D74" s="1">
        <v>1</v>
      </c>
      <c r="E74" s="1">
        <v>12</v>
      </c>
      <c r="F74" s="15">
        <f>INT(VLOOKUP(D74,d_gema_valor!$A$2:$C$5,3,FALSE) * VLOOKUP(E74,d_deposito!$A$2:$B$5,2,FALSE))</f>
        <v>187</v>
      </c>
      <c r="G74">
        <v>28800</v>
      </c>
      <c r="H74" s="1">
        <v>1</v>
      </c>
      <c r="I74" s="15">
        <f>IF(H74=1, IF(L74=1, INT(G74 * (1 - VALUE(SUBSTITUTE(d_correo!$B$2, ",", ".")))), G74), -F74)</f>
        <v>28584</v>
      </c>
      <c r="J74" s="2">
        <v>46165</v>
      </c>
      <c r="K74" s="3">
        <v>0.8125</v>
      </c>
      <c r="L74" s="1">
        <v>1</v>
      </c>
    </row>
    <row r="75" spans="1:12" x14ac:dyDescent="0.25">
      <c r="A75" s="1">
        <v>1</v>
      </c>
      <c r="B75" s="1">
        <v>74</v>
      </c>
      <c r="C75" s="1">
        <v>6</v>
      </c>
      <c r="D75" s="1">
        <v>1</v>
      </c>
      <c r="E75" s="1">
        <v>12</v>
      </c>
      <c r="F75" s="15">
        <f>INT(VLOOKUP(D75,d_gema_valor!$A$2:$C$5,3,FALSE) * VLOOKUP(E75,d_deposito!$A$2:$B$5,2,FALSE))</f>
        <v>187</v>
      </c>
      <c r="G75">
        <v>28800</v>
      </c>
      <c r="H75" s="1">
        <v>1</v>
      </c>
      <c r="I75" s="15">
        <f>IF(H75=1, IF(L75=1, INT(G75 * (1 - VALUE(SUBSTITUTE(d_correo!$B$2, ",", ".")))), G75), -F75)</f>
        <v>28584</v>
      </c>
      <c r="J75" s="2">
        <v>46165</v>
      </c>
      <c r="K75" s="3">
        <v>0.8125</v>
      </c>
      <c r="L75" s="1">
        <v>1</v>
      </c>
    </row>
    <row r="76" spans="1:12" x14ac:dyDescent="0.25">
      <c r="A76" s="1">
        <v>1</v>
      </c>
      <c r="B76" s="1">
        <v>75</v>
      </c>
      <c r="C76" s="1">
        <v>6</v>
      </c>
      <c r="D76" s="1">
        <v>1</v>
      </c>
      <c r="E76" s="1">
        <v>12</v>
      </c>
      <c r="F76" s="15">
        <f>INT(VLOOKUP(D76,d_gema_valor!$A$2:$C$5,3,FALSE) * VLOOKUP(E76,d_deposito!$A$2:$B$5,2,FALSE))</f>
        <v>187</v>
      </c>
      <c r="G76">
        <v>28800</v>
      </c>
      <c r="H76" s="1">
        <v>1</v>
      </c>
      <c r="I76" s="15">
        <f>IF(H76=1, IF(L76=1, INT(G76 * (1 - VALUE(SUBSTITUTE(d_correo!$B$2, ",", ".")))), G76), -F76)</f>
        <v>28584</v>
      </c>
      <c r="J76" s="2">
        <v>46165</v>
      </c>
      <c r="K76" s="3">
        <v>0.8125</v>
      </c>
      <c r="L76" s="1">
        <v>1</v>
      </c>
    </row>
    <row r="77" spans="1:12" x14ac:dyDescent="0.25">
      <c r="A77" s="1">
        <v>1</v>
      </c>
      <c r="B77" s="1">
        <v>76</v>
      </c>
      <c r="C77" s="1">
        <v>7</v>
      </c>
      <c r="D77" s="1">
        <v>4</v>
      </c>
      <c r="E77" s="1">
        <v>24</v>
      </c>
      <c r="F77" s="15">
        <f>INT(VLOOKUP(D77,d_gema_valor!$A$2:$C$5,3,FALSE) * VLOOKUP(E77,d_deposito!$A$2:$B$5,2,FALSE))</f>
        <v>4500</v>
      </c>
      <c r="G77">
        <v>959000</v>
      </c>
      <c r="H77" s="1">
        <v>2</v>
      </c>
      <c r="I77" s="15">
        <f>IF(H77=1, IF(L77=1, INT(G77 * (1 - VALUE(SUBSTITUTE(d_correo!$B$2, ",", ".")))), G77), -F77)</f>
        <v>-4500</v>
      </c>
      <c r="J77" s="2">
        <v>46165</v>
      </c>
      <c r="K77" s="3">
        <v>0.8125</v>
      </c>
      <c r="L77" s="1">
        <v>1</v>
      </c>
    </row>
    <row r="78" spans="1:12" x14ac:dyDescent="0.25">
      <c r="A78" s="1">
        <v>1</v>
      </c>
      <c r="B78" s="1">
        <v>77</v>
      </c>
      <c r="C78" s="1">
        <v>7</v>
      </c>
      <c r="D78" s="1">
        <v>4</v>
      </c>
      <c r="E78" s="1">
        <v>24</v>
      </c>
      <c r="F78" s="15">
        <f>INT(VLOOKUP(D78,d_gema_valor!$A$2:$C$5,3,FALSE) * VLOOKUP(E78,d_deposito!$A$2:$B$5,2,FALSE))</f>
        <v>4500</v>
      </c>
      <c r="G78">
        <v>959000</v>
      </c>
      <c r="H78" s="1">
        <v>2</v>
      </c>
      <c r="I78" s="15">
        <f>IF(H78=1, IF(L78=1, INT(G78 * (1 - VALUE(SUBSTITUTE(d_correo!$B$2, ",", ".")))), G78), -F78)</f>
        <v>-4500</v>
      </c>
      <c r="J78" s="2">
        <v>46165</v>
      </c>
      <c r="K78" s="3">
        <v>0.8125</v>
      </c>
      <c r="L78" s="1">
        <v>1</v>
      </c>
    </row>
    <row r="79" spans="1:12" x14ac:dyDescent="0.25">
      <c r="A79" s="1">
        <v>1</v>
      </c>
      <c r="B79" s="1">
        <v>78</v>
      </c>
      <c r="C79" s="1">
        <v>1</v>
      </c>
      <c r="D79" s="1">
        <v>1</v>
      </c>
      <c r="E79" s="1">
        <v>12</v>
      </c>
      <c r="F79" s="15">
        <f>INT(VLOOKUP(D79,d_gema_valor!$A$2:$C$5,3,FALSE) * VLOOKUP(E79,d_deposito!$A$2:$B$5,2,FALSE))</f>
        <v>187</v>
      </c>
      <c r="G79">
        <v>87500</v>
      </c>
      <c r="H79" s="1">
        <v>1</v>
      </c>
      <c r="I79" s="15">
        <f>IF(H79=1, IF(L79=1, INT(G79 * (1 - VALUE(SUBSTITUTE(d_correo!$B$2, ",", ".")))), G79), -F79)</f>
        <v>86843</v>
      </c>
      <c r="J79" s="2">
        <v>46166</v>
      </c>
      <c r="K79" s="3">
        <v>0.97222222222222221</v>
      </c>
      <c r="L79" s="1">
        <v>1</v>
      </c>
    </row>
    <row r="80" spans="1:12" x14ac:dyDescent="0.25">
      <c r="A80" s="1">
        <v>1</v>
      </c>
      <c r="B80" s="1">
        <v>79</v>
      </c>
      <c r="C80" s="1">
        <v>1</v>
      </c>
      <c r="D80" s="1">
        <v>1</v>
      </c>
      <c r="E80" s="1">
        <v>12</v>
      </c>
      <c r="F80" s="15">
        <f>INT(VLOOKUP(D80,d_gema_valor!$A$2:$C$5,3,FALSE) * VLOOKUP(E80,d_deposito!$A$2:$B$5,2,FALSE))</f>
        <v>187</v>
      </c>
      <c r="G80">
        <v>87500</v>
      </c>
      <c r="H80" s="1">
        <v>2</v>
      </c>
      <c r="I80" s="15">
        <f>IF(H80=1, IF(L80=1, INT(G80 * (1 - VALUE(SUBSTITUTE(d_correo!$B$2, ",", ".")))), G80), -F80)</f>
        <v>-187</v>
      </c>
      <c r="J80" s="2">
        <v>46166</v>
      </c>
      <c r="K80" s="3">
        <v>0.97222222222222221</v>
      </c>
      <c r="L80" s="1">
        <v>1</v>
      </c>
    </row>
    <row r="81" spans="1:12" x14ac:dyDescent="0.25">
      <c r="A81" s="1">
        <v>1</v>
      </c>
      <c r="B81" s="1">
        <v>80</v>
      </c>
      <c r="C81" s="1">
        <v>3</v>
      </c>
      <c r="D81" s="1">
        <v>1</v>
      </c>
      <c r="E81" s="1">
        <v>12</v>
      </c>
      <c r="F81" s="15">
        <f>INT(VLOOKUP(D81,d_gema_valor!$A$2:$C$5,3,FALSE) * VLOOKUP(E81,d_deposito!$A$2:$B$5,2,FALSE))</f>
        <v>187</v>
      </c>
      <c r="G81">
        <v>29600</v>
      </c>
      <c r="H81" s="1">
        <v>2</v>
      </c>
      <c r="I81" s="15">
        <f>IF(H81=1, IF(L81=1, INT(G81 * (1 - VALUE(SUBSTITUTE(d_correo!$B$2, ",", ".")))), G81), -F81)</f>
        <v>-187</v>
      </c>
      <c r="J81" s="2">
        <v>46166</v>
      </c>
      <c r="K81" s="3">
        <v>0.97222222222222199</v>
      </c>
      <c r="L81" s="1">
        <v>1</v>
      </c>
    </row>
    <row r="82" spans="1:12" x14ac:dyDescent="0.25">
      <c r="A82" s="1">
        <v>1</v>
      </c>
      <c r="B82" s="1">
        <v>81</v>
      </c>
      <c r="C82" s="1">
        <v>3</v>
      </c>
      <c r="D82" s="1">
        <v>1</v>
      </c>
      <c r="E82" s="1">
        <v>12</v>
      </c>
      <c r="F82" s="15">
        <f>INT(VLOOKUP(D82,d_gema_valor!$A$2:$C$5,3,FALSE) * VLOOKUP(E82,d_deposito!$A$2:$B$5,2,FALSE))</f>
        <v>187</v>
      </c>
      <c r="G82">
        <v>29600</v>
      </c>
      <c r="H82" s="1">
        <v>2</v>
      </c>
      <c r="I82" s="15">
        <f>IF(H82=1, IF(L82=1, INT(G82 * (1 - VALUE(SUBSTITUTE(d_correo!$B$2, ",", ".")))), G82), -F82)</f>
        <v>-187</v>
      </c>
      <c r="J82" s="2">
        <v>46166</v>
      </c>
      <c r="K82" s="3">
        <v>0.97222222222222199</v>
      </c>
      <c r="L82" s="1">
        <v>1</v>
      </c>
    </row>
    <row r="83" spans="1:12" x14ac:dyDescent="0.25">
      <c r="A83" s="1">
        <v>1</v>
      </c>
      <c r="B83" s="1">
        <v>82</v>
      </c>
      <c r="C83" s="1">
        <v>3</v>
      </c>
      <c r="D83" s="1">
        <v>1</v>
      </c>
      <c r="E83" s="1">
        <v>12</v>
      </c>
      <c r="F83" s="15">
        <f>INT(VLOOKUP(D83,d_gema_valor!$A$2:$C$5,3,FALSE) * VLOOKUP(E83,d_deposito!$A$2:$B$5,2,FALSE))</f>
        <v>187</v>
      </c>
      <c r="G83">
        <v>29600</v>
      </c>
      <c r="H83" s="1">
        <v>2</v>
      </c>
      <c r="I83" s="15">
        <f>IF(H83=1, IF(L83=1, INT(G83 * (1 - VALUE(SUBSTITUTE(d_correo!$B$2, ",", ".")))), G83), -F83)</f>
        <v>-187</v>
      </c>
      <c r="J83" s="2">
        <v>46166</v>
      </c>
      <c r="K83" s="3">
        <v>0.97222222222222199</v>
      </c>
      <c r="L83" s="1">
        <v>1</v>
      </c>
    </row>
    <row r="84" spans="1:12" x14ac:dyDescent="0.25">
      <c r="A84" s="1">
        <v>1</v>
      </c>
      <c r="B84" s="1">
        <v>83</v>
      </c>
      <c r="C84" s="1">
        <v>3</v>
      </c>
      <c r="D84" s="1">
        <v>1</v>
      </c>
      <c r="E84" s="1">
        <v>12</v>
      </c>
      <c r="F84" s="15">
        <f>INT(VLOOKUP(D84,d_gema_valor!$A$2:$C$5,3,FALSE) * VLOOKUP(E84,d_deposito!$A$2:$B$5,2,FALSE))</f>
        <v>187</v>
      </c>
      <c r="G84">
        <v>29600</v>
      </c>
      <c r="H84" s="1">
        <v>2</v>
      </c>
      <c r="I84" s="15">
        <f>IF(H84=1, IF(L84=1, INT(G84 * (1 - VALUE(SUBSTITUTE(d_correo!$B$2, ",", ".")))), G84), -F84)</f>
        <v>-187</v>
      </c>
      <c r="J84" s="2">
        <v>46166</v>
      </c>
      <c r="K84" s="3">
        <v>0.97222222222222199</v>
      </c>
      <c r="L84" s="1">
        <v>1</v>
      </c>
    </row>
    <row r="85" spans="1:12" x14ac:dyDescent="0.25">
      <c r="A85" s="1">
        <v>1</v>
      </c>
      <c r="B85" s="1">
        <v>84</v>
      </c>
      <c r="C85" s="1">
        <v>3</v>
      </c>
      <c r="D85" s="1">
        <v>1</v>
      </c>
      <c r="E85" s="1">
        <v>12</v>
      </c>
      <c r="F85" s="15">
        <f>INT(VLOOKUP(D85,d_gema_valor!$A$2:$C$5,3,FALSE) * VLOOKUP(E85,d_deposito!$A$2:$B$5,2,FALSE))</f>
        <v>187</v>
      </c>
      <c r="G85">
        <v>29600</v>
      </c>
      <c r="H85" s="1">
        <v>2</v>
      </c>
      <c r="I85" s="15">
        <f>IF(H85=1, IF(L85=1, INT(G85 * (1 - VALUE(SUBSTITUTE(d_correo!$B$2, ",", ".")))), G85), -F85)</f>
        <v>-187</v>
      </c>
      <c r="J85" s="2">
        <v>46166</v>
      </c>
      <c r="K85" s="3">
        <v>0.97222222222222199</v>
      </c>
      <c r="L85" s="1">
        <v>1</v>
      </c>
    </row>
    <row r="86" spans="1:12" x14ac:dyDescent="0.25">
      <c r="A86" s="1">
        <v>1</v>
      </c>
      <c r="B86" s="1">
        <v>85</v>
      </c>
      <c r="C86" s="1">
        <v>3</v>
      </c>
      <c r="D86" s="1">
        <v>1</v>
      </c>
      <c r="E86" s="1">
        <v>12</v>
      </c>
      <c r="F86" s="15">
        <f>INT(VLOOKUP(D86,d_gema_valor!$A$2:$C$5,3,FALSE) * VLOOKUP(E86,d_deposito!$A$2:$B$5,2,FALSE))</f>
        <v>187</v>
      </c>
      <c r="G86">
        <v>29600</v>
      </c>
      <c r="H86" s="1">
        <v>2</v>
      </c>
      <c r="I86" s="15">
        <f>IF(H86=1, IF(L86=1, INT(G86 * (1 - VALUE(SUBSTITUTE(d_correo!$B$2, ",", ".")))), G86), -F86)</f>
        <v>-187</v>
      </c>
      <c r="J86" s="2">
        <v>46166</v>
      </c>
      <c r="K86" s="3">
        <v>0.97222222222222199</v>
      </c>
      <c r="L86" s="1">
        <v>1</v>
      </c>
    </row>
    <row r="87" spans="1:12" x14ac:dyDescent="0.25">
      <c r="A87" s="1">
        <v>1</v>
      </c>
      <c r="B87" s="1">
        <v>86</v>
      </c>
      <c r="C87" s="1">
        <v>5</v>
      </c>
      <c r="D87" s="1">
        <v>1</v>
      </c>
      <c r="E87" s="1">
        <v>12</v>
      </c>
      <c r="F87" s="15">
        <f>INT(VLOOKUP(D87,d_gema_valor!$A$2:$C$5,3,FALSE) * VLOOKUP(E87,d_deposito!$A$2:$B$5,2,FALSE))</f>
        <v>187</v>
      </c>
      <c r="G87">
        <v>39500</v>
      </c>
      <c r="H87" s="1">
        <v>2</v>
      </c>
      <c r="I87" s="15">
        <f>IF(H87=1, IF(L87=1, INT(G87 * (1 - VALUE(SUBSTITUTE(d_correo!$B$2, ",", ".")))), G87), -F87)</f>
        <v>-187</v>
      </c>
      <c r="J87" s="2">
        <v>46166</v>
      </c>
      <c r="K87" s="3">
        <v>0.97222222222222199</v>
      </c>
      <c r="L87" s="1">
        <v>1</v>
      </c>
    </row>
    <row r="88" spans="1:12" x14ac:dyDescent="0.25">
      <c r="A88" s="1">
        <v>1</v>
      </c>
      <c r="B88" s="1">
        <v>87</v>
      </c>
      <c r="C88" s="1">
        <v>5</v>
      </c>
      <c r="D88" s="1">
        <v>1</v>
      </c>
      <c r="E88" s="1">
        <v>12</v>
      </c>
      <c r="F88" s="15">
        <f>INT(VLOOKUP(D88,d_gema_valor!$A$2:$C$5,3,FALSE) * VLOOKUP(E88,d_deposito!$A$2:$B$5,2,FALSE))</f>
        <v>187</v>
      </c>
      <c r="G88">
        <v>39500</v>
      </c>
      <c r="H88" s="1">
        <v>2</v>
      </c>
      <c r="I88" s="15">
        <f>IF(H88=1, IF(L88=1, INT(G88 * (1 - VALUE(SUBSTITUTE(d_correo!$B$2, ",", ".")))), G88), -F88)</f>
        <v>-187</v>
      </c>
      <c r="J88" s="2">
        <v>46166</v>
      </c>
      <c r="K88" s="3">
        <v>0.97222222222222199</v>
      </c>
      <c r="L88" s="1">
        <v>1</v>
      </c>
    </row>
    <row r="89" spans="1:12" x14ac:dyDescent="0.25">
      <c r="A89" s="1">
        <v>1</v>
      </c>
      <c r="B89" s="1">
        <v>88</v>
      </c>
      <c r="C89" s="1">
        <v>5</v>
      </c>
      <c r="D89" s="1">
        <v>1</v>
      </c>
      <c r="E89" s="1">
        <v>12</v>
      </c>
      <c r="F89" s="15">
        <f>INT(VLOOKUP(D89,d_gema_valor!$A$2:$C$5,3,FALSE) * VLOOKUP(E89,d_deposito!$A$2:$B$5,2,FALSE))</f>
        <v>187</v>
      </c>
      <c r="G89">
        <v>39500</v>
      </c>
      <c r="H89" s="1">
        <v>2</v>
      </c>
      <c r="I89" s="15">
        <f>IF(H89=1, IF(L89=1, INT(G89 * (1 - VALUE(SUBSTITUTE(d_correo!$B$2, ",", ".")))), G89), -F89)</f>
        <v>-187</v>
      </c>
      <c r="J89" s="2">
        <v>46166</v>
      </c>
      <c r="K89" s="3">
        <v>0.97222222222222199</v>
      </c>
      <c r="L89" s="1">
        <v>1</v>
      </c>
    </row>
    <row r="90" spans="1:12" x14ac:dyDescent="0.25">
      <c r="A90" s="1">
        <v>1</v>
      </c>
      <c r="B90" s="1">
        <v>89</v>
      </c>
      <c r="C90" s="1">
        <v>7</v>
      </c>
      <c r="D90" s="1">
        <v>4</v>
      </c>
      <c r="E90" s="1">
        <v>24</v>
      </c>
      <c r="F90" s="15">
        <f>INT(VLOOKUP(D90,d_gema_valor!$A$2:$C$5,3,FALSE) * VLOOKUP(E90,d_deposito!$A$2:$B$5,2,FALSE))</f>
        <v>4500</v>
      </c>
      <c r="G90">
        <v>957000</v>
      </c>
      <c r="H90" s="1">
        <v>2</v>
      </c>
      <c r="I90" s="15">
        <f>IF(H90=1, IF(L90=1, INT(G90 * (1 - VALUE(SUBSTITUTE(d_correo!$B$2, ",", ".")))), G90), -F90)</f>
        <v>-4500</v>
      </c>
      <c r="J90" s="2">
        <v>46166</v>
      </c>
      <c r="K90" s="3">
        <v>0.97222222222222199</v>
      </c>
      <c r="L90" s="1">
        <v>1</v>
      </c>
    </row>
    <row r="91" spans="1:12" x14ac:dyDescent="0.25">
      <c r="A91" s="1">
        <v>1</v>
      </c>
      <c r="B91" s="1">
        <v>90</v>
      </c>
      <c r="C91" s="1">
        <v>7</v>
      </c>
      <c r="D91" s="1">
        <v>4</v>
      </c>
      <c r="E91" s="1">
        <v>24</v>
      </c>
      <c r="F91" s="15">
        <f>INT(VLOOKUP(D91,d_gema_valor!$A$2:$C$5,3,FALSE) * VLOOKUP(E91,d_deposito!$A$2:$B$5,2,FALSE))</f>
        <v>4500</v>
      </c>
      <c r="G91">
        <v>957000</v>
      </c>
      <c r="H91" s="1">
        <v>2</v>
      </c>
      <c r="I91" s="15">
        <f>IF(H91=1, IF(L91=1, INT(G91 * (1 - VALUE(SUBSTITUTE(d_correo!$B$2, ",", ".")))), G91), -F91)</f>
        <v>-4500</v>
      </c>
      <c r="J91" s="2">
        <v>46166</v>
      </c>
      <c r="K91" s="3">
        <v>0.97222222222222199</v>
      </c>
      <c r="L91" s="1">
        <v>1</v>
      </c>
    </row>
    <row r="92" spans="1:12" x14ac:dyDescent="0.25">
      <c r="A92" s="1">
        <v>1</v>
      </c>
      <c r="B92" s="1">
        <v>91</v>
      </c>
      <c r="C92" s="1">
        <v>1</v>
      </c>
      <c r="D92" s="1">
        <v>1</v>
      </c>
      <c r="E92" s="1">
        <v>12</v>
      </c>
      <c r="F92" s="15">
        <f>INT(VLOOKUP(D92,d_gema_valor!$A$2:$C$5,3,FALSE) * VLOOKUP(E92,d_deposito!$A$2:$B$5,2,FALSE))</f>
        <v>187</v>
      </c>
      <c r="G92">
        <v>85000</v>
      </c>
      <c r="H92" s="1">
        <v>1</v>
      </c>
      <c r="I92" s="15">
        <f>IF(H92=1, IF(L92=1, INT(G92 * (1 - VALUE(SUBSTITUTE(d_correo!$B$2, ",", ".")))), G92), -F92)</f>
        <v>84362</v>
      </c>
      <c r="J92" s="2">
        <v>46168</v>
      </c>
      <c r="K92" s="3">
        <v>3.472222222222222E-3</v>
      </c>
      <c r="L92" s="1">
        <v>1</v>
      </c>
    </row>
    <row r="93" spans="1:12" x14ac:dyDescent="0.25">
      <c r="A93" s="1">
        <v>1</v>
      </c>
      <c r="B93" s="1">
        <v>92</v>
      </c>
      <c r="C93" s="1">
        <v>3</v>
      </c>
      <c r="D93" s="1">
        <v>1</v>
      </c>
      <c r="E93" s="1">
        <v>12</v>
      </c>
      <c r="F93" s="15">
        <f>INT(VLOOKUP(D93,d_gema_valor!$A$2:$C$5,3,FALSE) * VLOOKUP(E93,d_deposito!$A$2:$B$5,2,FALSE))</f>
        <v>187</v>
      </c>
      <c r="G93">
        <v>12500</v>
      </c>
      <c r="H93" s="1">
        <v>1</v>
      </c>
      <c r="I93" s="15">
        <f>IF(H93=1, IF(L93=1, INT(G93 * (1 - VALUE(SUBSTITUTE(d_correo!$B$2, ",", ".")))), G93), -F93)</f>
        <v>12406</v>
      </c>
      <c r="J93" s="2">
        <v>46168</v>
      </c>
      <c r="K93" s="3">
        <v>3.472222222222222E-3</v>
      </c>
      <c r="L93" s="1">
        <v>1</v>
      </c>
    </row>
    <row r="94" spans="1:12" x14ac:dyDescent="0.25">
      <c r="A94" s="1">
        <v>1</v>
      </c>
      <c r="B94" s="1">
        <v>93</v>
      </c>
      <c r="C94" s="1">
        <v>3</v>
      </c>
      <c r="D94" s="1">
        <v>1</v>
      </c>
      <c r="E94" s="1">
        <v>12</v>
      </c>
      <c r="F94" s="15">
        <f>INT(VLOOKUP(D94,d_gema_valor!$A$2:$C$5,3,FALSE) * VLOOKUP(E94,d_deposito!$A$2:$B$5,2,FALSE))</f>
        <v>187</v>
      </c>
      <c r="G94">
        <v>12500</v>
      </c>
      <c r="H94" s="1">
        <v>2</v>
      </c>
      <c r="I94" s="15">
        <f>IF(H94=1, IF(L94=1, INT(G94 * (1 - VALUE(SUBSTITUTE(d_correo!$B$2, ",", ".")))), G94), -F94)</f>
        <v>-187</v>
      </c>
      <c r="J94" s="2">
        <v>46168</v>
      </c>
      <c r="K94" s="3">
        <v>3.4722222222222199E-3</v>
      </c>
      <c r="L94" s="1">
        <v>1</v>
      </c>
    </row>
    <row r="95" spans="1:12" x14ac:dyDescent="0.25">
      <c r="A95" s="1">
        <v>1</v>
      </c>
      <c r="B95" s="1">
        <v>94</v>
      </c>
      <c r="C95" s="1">
        <v>3</v>
      </c>
      <c r="D95" s="1">
        <v>1</v>
      </c>
      <c r="E95" s="1">
        <v>12</v>
      </c>
      <c r="F95" s="15">
        <f>INT(VLOOKUP(D95,d_gema_valor!$A$2:$C$5,3,FALSE) * VLOOKUP(E95,d_deposito!$A$2:$B$5,2,FALSE))</f>
        <v>187</v>
      </c>
      <c r="G95">
        <v>12500</v>
      </c>
      <c r="H95" s="1">
        <v>2</v>
      </c>
      <c r="I95" s="15">
        <f>IF(H95=1, IF(L95=1, INT(G95 * (1 - VALUE(SUBSTITUTE(d_correo!$B$2, ",", ".")))), G95), -F95)</f>
        <v>-187</v>
      </c>
      <c r="J95" s="2">
        <v>46168</v>
      </c>
      <c r="K95" s="3">
        <v>3.4722222222222199E-3</v>
      </c>
      <c r="L95" s="1">
        <v>1</v>
      </c>
    </row>
    <row r="96" spans="1:12" x14ac:dyDescent="0.25">
      <c r="A96" s="1">
        <v>1</v>
      </c>
      <c r="B96" s="1">
        <v>95</v>
      </c>
      <c r="C96" s="1">
        <v>3</v>
      </c>
      <c r="D96" s="1">
        <v>1</v>
      </c>
      <c r="E96" s="1">
        <v>12</v>
      </c>
      <c r="F96" s="15">
        <f>INT(VLOOKUP(D96,d_gema_valor!$A$2:$C$5,3,FALSE) * VLOOKUP(E96,d_deposito!$A$2:$B$5,2,FALSE))</f>
        <v>187</v>
      </c>
      <c r="G96">
        <v>12500</v>
      </c>
      <c r="H96" s="1">
        <v>2</v>
      </c>
      <c r="I96" s="15">
        <f>IF(H96=1, IF(L96=1, INT(G96 * (1 - VALUE(SUBSTITUTE(d_correo!$B$2, ",", ".")))), G96), -F96)</f>
        <v>-187</v>
      </c>
      <c r="J96" s="2">
        <v>46168</v>
      </c>
      <c r="K96" s="3">
        <v>3.4722222222222199E-3</v>
      </c>
      <c r="L96" s="1">
        <v>1</v>
      </c>
    </row>
    <row r="97" spans="1:12" x14ac:dyDescent="0.25">
      <c r="A97" s="1">
        <v>1</v>
      </c>
      <c r="B97" s="1">
        <v>96</v>
      </c>
      <c r="C97" s="1">
        <v>3</v>
      </c>
      <c r="D97" s="1">
        <v>1</v>
      </c>
      <c r="E97" s="1">
        <v>12</v>
      </c>
      <c r="F97" s="15">
        <f>INT(VLOOKUP(D97,d_gema_valor!$A$2:$C$5,3,FALSE) * VLOOKUP(E97,d_deposito!$A$2:$B$5,2,FALSE))</f>
        <v>187</v>
      </c>
      <c r="G97">
        <v>12500</v>
      </c>
      <c r="H97" s="1">
        <v>2</v>
      </c>
      <c r="I97" s="15">
        <f>IF(H97=1, IF(L97=1, INT(G97 * (1 - VALUE(SUBSTITUTE(d_correo!$B$2, ",", ".")))), G97), -F97)</f>
        <v>-187</v>
      </c>
      <c r="J97" s="2">
        <v>46168</v>
      </c>
      <c r="K97" s="3">
        <v>3.4722222222222199E-3</v>
      </c>
      <c r="L97" s="1">
        <v>1</v>
      </c>
    </row>
    <row r="98" spans="1:12" x14ac:dyDescent="0.25">
      <c r="A98" s="1">
        <v>1</v>
      </c>
      <c r="B98" s="1">
        <v>97</v>
      </c>
      <c r="C98" s="1">
        <v>3</v>
      </c>
      <c r="D98" s="1">
        <v>1</v>
      </c>
      <c r="E98" s="1">
        <v>12</v>
      </c>
      <c r="F98" s="15">
        <f>INT(VLOOKUP(D98,d_gema_valor!$A$2:$C$5,3,FALSE) * VLOOKUP(E98,d_deposito!$A$2:$B$5,2,FALSE))</f>
        <v>187</v>
      </c>
      <c r="G98">
        <v>12500</v>
      </c>
      <c r="H98" s="1">
        <v>2</v>
      </c>
      <c r="I98" s="15">
        <f>IF(H98=1, IF(L98=1, INT(G98 * (1 - VALUE(SUBSTITUTE(d_correo!$B$2, ",", ".")))), G98), -F98)</f>
        <v>-187</v>
      </c>
      <c r="J98" s="2">
        <v>46168</v>
      </c>
      <c r="K98" s="3">
        <v>3.4722222222222199E-3</v>
      </c>
      <c r="L98" s="1">
        <v>1</v>
      </c>
    </row>
    <row r="99" spans="1:12" x14ac:dyDescent="0.25">
      <c r="A99" s="1">
        <v>1</v>
      </c>
      <c r="B99" s="1">
        <v>98</v>
      </c>
      <c r="C99" s="1">
        <v>5</v>
      </c>
      <c r="D99" s="1">
        <v>1</v>
      </c>
      <c r="E99" s="1">
        <v>12</v>
      </c>
      <c r="F99" s="15">
        <f>INT(VLOOKUP(D99,d_gema_valor!$A$2:$C$5,3,FALSE) * VLOOKUP(E99,d_deposito!$A$2:$B$5,2,FALSE))</f>
        <v>187</v>
      </c>
      <c r="G99">
        <v>29500</v>
      </c>
      <c r="H99" s="1">
        <v>1</v>
      </c>
      <c r="I99" s="15">
        <f>IF(H99=1, IF(L99=1, INT(G99 * (1 - VALUE(SUBSTITUTE(d_correo!$B$2, ",", ".")))), G99), -F99)</f>
        <v>29278</v>
      </c>
      <c r="J99" s="2">
        <v>46168</v>
      </c>
      <c r="K99" s="3">
        <v>3.4722222222222199E-3</v>
      </c>
      <c r="L99" s="1">
        <v>1</v>
      </c>
    </row>
    <row r="100" spans="1:12" x14ac:dyDescent="0.25">
      <c r="A100" s="1">
        <v>1</v>
      </c>
      <c r="B100" s="1">
        <v>99</v>
      </c>
      <c r="C100" s="1">
        <v>5</v>
      </c>
      <c r="D100" s="1">
        <v>1</v>
      </c>
      <c r="E100" s="1">
        <v>12</v>
      </c>
      <c r="F100" s="15">
        <f>INT(VLOOKUP(D100,d_gema_valor!$A$2:$C$5,3,FALSE) * VLOOKUP(E100,d_deposito!$A$2:$B$5,2,FALSE))</f>
        <v>187</v>
      </c>
      <c r="G100">
        <v>29500</v>
      </c>
      <c r="H100" s="1">
        <v>1</v>
      </c>
      <c r="I100" s="15">
        <f>IF(H100=1, IF(L100=1, INT(G100 * (1 - VALUE(SUBSTITUTE(d_correo!$B$2, ",", ".")))), G100), -F100)</f>
        <v>29278</v>
      </c>
      <c r="J100" s="2">
        <v>46168</v>
      </c>
      <c r="K100" s="3">
        <v>3.4722222222222199E-3</v>
      </c>
      <c r="L100" s="1">
        <v>1</v>
      </c>
    </row>
    <row r="101" spans="1:12" x14ac:dyDescent="0.25">
      <c r="A101" s="1">
        <v>1</v>
      </c>
      <c r="B101" s="1">
        <v>100</v>
      </c>
      <c r="C101" s="1">
        <v>5</v>
      </c>
      <c r="D101" s="1">
        <v>1</v>
      </c>
      <c r="E101" s="1">
        <v>12</v>
      </c>
      <c r="F101" s="15">
        <f>INT(VLOOKUP(D101,d_gema_valor!$A$2:$C$5,3,FALSE) * VLOOKUP(E101,d_deposito!$A$2:$B$5,2,FALSE))</f>
        <v>187</v>
      </c>
      <c r="G101">
        <v>29500</v>
      </c>
      <c r="H101" s="1">
        <v>1</v>
      </c>
      <c r="I101" s="15">
        <f>IF(H101=1, IF(L101=1, INT(G101 * (1 - VALUE(SUBSTITUTE(d_correo!$B$2, ",", ".")))), G101), -F101)</f>
        <v>29278</v>
      </c>
      <c r="J101" s="2">
        <v>46168</v>
      </c>
      <c r="K101" s="3">
        <v>3.4722222222222199E-3</v>
      </c>
      <c r="L101" s="1">
        <v>1</v>
      </c>
    </row>
    <row r="102" spans="1:12" x14ac:dyDescent="0.25">
      <c r="A102" s="1">
        <v>1</v>
      </c>
      <c r="B102" s="1">
        <v>101</v>
      </c>
      <c r="C102" s="1">
        <v>7</v>
      </c>
      <c r="D102" s="1">
        <v>4</v>
      </c>
      <c r="E102" s="1">
        <v>12</v>
      </c>
      <c r="F102" s="15">
        <f>INT(VLOOKUP(D102,d_gema_valor!$A$2:$C$5,3,FALSE) * VLOOKUP(E102,d_deposito!$A$2:$B$5,2,FALSE))</f>
        <v>2250</v>
      </c>
      <c r="G102">
        <v>749900</v>
      </c>
      <c r="H102" s="1">
        <v>2</v>
      </c>
      <c r="I102" s="15">
        <f>IF(H102=1, IF(L102=1, INT(G102 * (1 - VALUE(SUBSTITUTE(d_correo!$B$2, ",", ".")))), G102), -F102)</f>
        <v>-2250</v>
      </c>
      <c r="J102" s="2">
        <v>46168</v>
      </c>
      <c r="K102" s="3">
        <v>3.4722222222222199E-3</v>
      </c>
      <c r="L102" s="1">
        <v>1</v>
      </c>
    </row>
    <row r="103" spans="1:12" x14ac:dyDescent="0.25">
      <c r="A103" s="1">
        <v>1</v>
      </c>
      <c r="B103" s="1">
        <v>102</v>
      </c>
      <c r="C103" s="1">
        <v>7</v>
      </c>
      <c r="D103" s="1">
        <v>4</v>
      </c>
      <c r="E103" s="1">
        <v>12</v>
      </c>
      <c r="F103" s="15">
        <f>INT(VLOOKUP(D103,d_gema_valor!$A$2:$C$5,3,FALSE) * VLOOKUP(E103,d_deposito!$A$2:$B$5,2,FALSE))</f>
        <v>2250</v>
      </c>
      <c r="G103">
        <v>749900</v>
      </c>
      <c r="H103" s="1">
        <v>2</v>
      </c>
      <c r="I103" s="15">
        <f>IF(H103=1, IF(L103=1, INT(G103 * (1 - VALUE(SUBSTITUTE(d_correo!$B$2, ",", ".")))), G103), -F103)</f>
        <v>-2250</v>
      </c>
      <c r="J103" s="2">
        <v>46168</v>
      </c>
      <c r="K103" s="3">
        <v>3.4722222222222199E-3</v>
      </c>
      <c r="L103" s="1">
        <v>1</v>
      </c>
    </row>
    <row r="104" spans="1:12" x14ac:dyDescent="0.25">
      <c r="A104" s="1">
        <v>1</v>
      </c>
      <c r="B104" s="1">
        <v>103</v>
      </c>
      <c r="C104" s="1">
        <v>3</v>
      </c>
      <c r="D104" s="1">
        <v>1</v>
      </c>
      <c r="E104" s="1">
        <v>12</v>
      </c>
      <c r="F104" s="15">
        <f>INT(VLOOKUP(D104,d_gema_valor!$A$2:$C$5,3,FALSE) * VLOOKUP(E104,d_deposito!$A$2:$B$5,2,FALSE))</f>
        <v>187</v>
      </c>
      <c r="G104">
        <v>15000</v>
      </c>
      <c r="H104" s="1">
        <v>1</v>
      </c>
      <c r="I104" s="15">
        <f>IF(H104=1, IF(L104=1, INT(G104 * (1 - VALUE(SUBSTITUTE(d_correo!$B$2, ",", ".")))), G104), -F104)</f>
        <v>14887</v>
      </c>
      <c r="J104" s="2">
        <v>46168</v>
      </c>
      <c r="K104" s="3">
        <v>0.5180555555555556</v>
      </c>
      <c r="L104" s="1">
        <v>1</v>
      </c>
    </row>
    <row r="105" spans="1:12" x14ac:dyDescent="0.25">
      <c r="A105" s="1">
        <v>1</v>
      </c>
      <c r="B105" s="1">
        <v>104</v>
      </c>
      <c r="C105" s="1">
        <v>3</v>
      </c>
      <c r="D105" s="1">
        <v>1</v>
      </c>
      <c r="E105" s="1">
        <v>12</v>
      </c>
      <c r="F105" s="15">
        <f>INT(VLOOKUP(D105,d_gema_valor!$A$2:$C$5,3,FALSE) * VLOOKUP(E105,d_deposito!$A$2:$B$5,2,FALSE))</f>
        <v>187</v>
      </c>
      <c r="G105">
        <v>15000</v>
      </c>
      <c r="H105" s="1">
        <v>1</v>
      </c>
      <c r="I105" s="15">
        <f>IF(H105=1, IF(L105=1, INT(G105 * (1 - VALUE(SUBSTITUTE(d_correo!$B$2, ",", ".")))), G105), -F105)</f>
        <v>14887</v>
      </c>
      <c r="J105" s="2">
        <v>46168</v>
      </c>
      <c r="K105" s="3">
        <v>0.5180555555555556</v>
      </c>
      <c r="L105" s="1">
        <v>1</v>
      </c>
    </row>
    <row r="106" spans="1:12" x14ac:dyDescent="0.25">
      <c r="A106" s="1">
        <v>1</v>
      </c>
      <c r="B106" s="1">
        <v>105</v>
      </c>
      <c r="C106" s="1">
        <v>3</v>
      </c>
      <c r="D106" s="1">
        <v>1</v>
      </c>
      <c r="E106" s="1">
        <v>12</v>
      </c>
      <c r="F106" s="15">
        <f>INT(VLOOKUP(D106,d_gema_valor!$A$2:$C$5,3,FALSE) * VLOOKUP(E106,d_deposito!$A$2:$B$5,2,FALSE))</f>
        <v>187</v>
      </c>
      <c r="G106">
        <v>15000</v>
      </c>
      <c r="H106" s="1">
        <v>1</v>
      </c>
      <c r="I106" s="15">
        <f>IF(H106=1, IF(L106=1, INT(G106 * (1 - VALUE(SUBSTITUTE(d_correo!$B$2, ",", ".")))), G106), -F106)</f>
        <v>14887</v>
      </c>
      <c r="J106" s="2">
        <v>46168</v>
      </c>
      <c r="K106" s="3">
        <v>0.51805555555555605</v>
      </c>
      <c r="L106" s="1">
        <v>1</v>
      </c>
    </row>
    <row r="107" spans="1:12" x14ac:dyDescent="0.25">
      <c r="A107" s="1">
        <v>1</v>
      </c>
      <c r="B107" s="1">
        <v>106</v>
      </c>
      <c r="C107" s="1">
        <v>3</v>
      </c>
      <c r="D107" s="1">
        <v>1</v>
      </c>
      <c r="E107" s="1">
        <v>12</v>
      </c>
      <c r="F107" s="15">
        <f>INT(VLOOKUP(D107,d_gema_valor!$A$2:$C$5,3,FALSE) * VLOOKUP(E107,d_deposito!$A$2:$B$5,2,FALSE))</f>
        <v>187</v>
      </c>
      <c r="G107">
        <v>15000</v>
      </c>
      <c r="H107" s="1">
        <v>1</v>
      </c>
      <c r="I107" s="15">
        <f>IF(H107=1, IF(L107=1, INT(G107 * (1 - VALUE(SUBSTITUTE(d_correo!$B$2, ",", ".")))), G107), -F107)</f>
        <v>14887</v>
      </c>
      <c r="J107" s="2">
        <v>46168</v>
      </c>
      <c r="K107" s="3">
        <v>0.51805555555555605</v>
      </c>
      <c r="L107" s="1">
        <v>1</v>
      </c>
    </row>
    <row r="108" spans="1:12" x14ac:dyDescent="0.25">
      <c r="A108" s="1">
        <v>1</v>
      </c>
      <c r="B108" s="1">
        <v>107</v>
      </c>
      <c r="C108" s="1">
        <v>3</v>
      </c>
      <c r="D108" s="1">
        <v>1</v>
      </c>
      <c r="E108" s="1">
        <v>12</v>
      </c>
      <c r="F108" s="15">
        <f>INT(VLOOKUP(D108,d_gema_valor!$A$2:$C$5,3,FALSE) * VLOOKUP(E108,d_deposito!$A$2:$B$5,2,FALSE))</f>
        <v>187</v>
      </c>
      <c r="G108">
        <v>15000</v>
      </c>
      <c r="H108" s="1">
        <v>1</v>
      </c>
      <c r="I108" s="15">
        <f>IF(H108=1, IF(L108=1, INT(G108 * (1 - VALUE(SUBSTITUTE(d_correo!$B$2, ",", ".")))), G108), -F108)</f>
        <v>14887</v>
      </c>
      <c r="J108" s="2">
        <v>46168</v>
      </c>
      <c r="K108" s="3">
        <v>0.51805555555555605</v>
      </c>
      <c r="L108" s="1">
        <v>1</v>
      </c>
    </row>
    <row r="109" spans="1:12" x14ac:dyDescent="0.25">
      <c r="A109" s="1">
        <v>1</v>
      </c>
      <c r="B109" s="1">
        <v>108</v>
      </c>
      <c r="C109" s="1">
        <v>7</v>
      </c>
      <c r="D109" s="1">
        <v>4</v>
      </c>
      <c r="E109" s="1">
        <v>24</v>
      </c>
      <c r="F109" s="15">
        <f>INT(VLOOKUP(D109,d_gema_valor!$A$2:$C$5,3,FALSE) * VLOOKUP(E109,d_deposito!$A$2:$B$5,2,FALSE))</f>
        <v>4500</v>
      </c>
      <c r="G109">
        <v>899900</v>
      </c>
      <c r="H109" s="1">
        <v>2</v>
      </c>
      <c r="I109" s="15">
        <f>IF(H109=1, IF(L109=1, INT(G109 * (1 - VALUE(SUBSTITUTE(d_correo!$B$2, ",", ".")))), G109), -F109)</f>
        <v>-4500</v>
      </c>
      <c r="J109" s="2">
        <v>46168</v>
      </c>
      <c r="K109" s="3">
        <v>0.51805555555555605</v>
      </c>
      <c r="L109" s="1">
        <v>1</v>
      </c>
    </row>
    <row r="110" spans="1:12" x14ac:dyDescent="0.25">
      <c r="A110" s="1">
        <v>1</v>
      </c>
      <c r="B110" s="1">
        <v>109</v>
      </c>
      <c r="C110" s="1">
        <v>7</v>
      </c>
      <c r="D110" s="1">
        <v>4</v>
      </c>
      <c r="E110" s="1">
        <v>24</v>
      </c>
      <c r="F110" s="15">
        <f>INT(VLOOKUP(D110,d_gema_valor!$A$2:$C$5,3,FALSE) * VLOOKUP(E110,d_deposito!$A$2:$B$5,2,FALSE))</f>
        <v>4500</v>
      </c>
      <c r="G110">
        <v>899900</v>
      </c>
      <c r="H110" s="1">
        <v>2</v>
      </c>
      <c r="I110" s="15">
        <f>IF(H110=1, IF(L110=1, INT(G110 * (1 - VALUE(SUBSTITUTE(d_correo!$B$2, ",", ".")))), G110), -F110)</f>
        <v>-4500</v>
      </c>
      <c r="J110" s="2">
        <v>46168</v>
      </c>
      <c r="K110" s="3">
        <v>0.51805555555555605</v>
      </c>
      <c r="L110" s="1">
        <v>1</v>
      </c>
    </row>
    <row r="111" spans="1:12" x14ac:dyDescent="0.25">
      <c r="A111" s="1">
        <v>1</v>
      </c>
      <c r="B111" s="1">
        <v>110</v>
      </c>
      <c r="C111" s="1">
        <v>7</v>
      </c>
      <c r="D111" s="1">
        <v>4</v>
      </c>
      <c r="E111" s="1">
        <v>12</v>
      </c>
      <c r="F111" s="15">
        <f>INT(VLOOKUP(D111,d_gema_valor!$A$2:$C$5,3,FALSE) * VLOOKUP(E111,d_deposito!$A$2:$B$5,2,FALSE))</f>
        <v>2250</v>
      </c>
      <c r="G111">
        <v>749900</v>
      </c>
      <c r="H111" s="1">
        <v>2</v>
      </c>
      <c r="I111" s="15">
        <f>IF(H111=1, IF(L111=1, INT(G111 * (1 - VALUE(SUBSTITUTE(d_correo!$B$2, ",", ".")))), G111), -F111)</f>
        <v>-2250</v>
      </c>
      <c r="J111" s="2">
        <v>46170</v>
      </c>
      <c r="K111" s="3">
        <v>0.45</v>
      </c>
      <c r="L111" s="1">
        <v>1</v>
      </c>
    </row>
    <row r="112" spans="1:12" x14ac:dyDescent="0.25">
      <c r="A112" s="1">
        <v>1</v>
      </c>
      <c r="B112" s="1">
        <v>111</v>
      </c>
      <c r="C112" s="1">
        <v>7</v>
      </c>
      <c r="D112" s="1">
        <v>4</v>
      </c>
      <c r="E112" s="1">
        <v>12</v>
      </c>
      <c r="F112" s="15">
        <f>INT(VLOOKUP(D112,d_gema_valor!$A$2:$C$5,3,FALSE) * VLOOKUP(E112,d_deposito!$A$2:$B$5,2,FALSE))</f>
        <v>2250</v>
      </c>
      <c r="G112">
        <v>749900</v>
      </c>
      <c r="H112" s="1">
        <v>2</v>
      </c>
      <c r="I112" s="15">
        <f>IF(H112=1, IF(L112=1, INT(G112 * (1 - VALUE(SUBSTITUTE(d_correo!$B$2, ",", ".")))), G112), -F112)</f>
        <v>-2250</v>
      </c>
      <c r="J112" s="2">
        <v>46170</v>
      </c>
      <c r="K112" s="3">
        <v>0.45</v>
      </c>
      <c r="L112" s="1">
        <v>1</v>
      </c>
    </row>
    <row r="113" spans="1:12" x14ac:dyDescent="0.25">
      <c r="A113" s="1">
        <v>1</v>
      </c>
      <c r="B113" s="1">
        <v>112</v>
      </c>
      <c r="C113" s="1">
        <v>7</v>
      </c>
      <c r="D113" s="1">
        <v>4</v>
      </c>
      <c r="E113" s="1">
        <v>12</v>
      </c>
      <c r="F113" s="15">
        <f>INT(VLOOKUP(D113,d_gema_valor!$A$2:$C$5,3,FALSE) * VLOOKUP(E113,d_deposito!$A$2:$B$5,2,FALSE))</f>
        <v>2250</v>
      </c>
      <c r="G113">
        <v>699900</v>
      </c>
      <c r="H113" s="1">
        <v>2</v>
      </c>
      <c r="I113" s="15">
        <f>IF(H113=1, IF(L113=1, INT(G113 * (1 - VALUE(SUBSTITUTE(d_correo!$B$2, ",", ".")))), G113), -F113)</f>
        <v>-2250</v>
      </c>
      <c r="J113" s="2">
        <v>46171</v>
      </c>
      <c r="K113" s="3">
        <v>0.85069444444444453</v>
      </c>
      <c r="L113" s="1">
        <v>1</v>
      </c>
    </row>
    <row r="114" spans="1:12" x14ac:dyDescent="0.25">
      <c r="A114" s="1">
        <v>1</v>
      </c>
      <c r="B114" s="1">
        <v>113</v>
      </c>
      <c r="C114" s="1">
        <v>7</v>
      </c>
      <c r="D114" s="1">
        <v>4</v>
      </c>
      <c r="E114" s="1">
        <v>12</v>
      </c>
      <c r="F114" s="15">
        <f>INT(VLOOKUP(D114,d_gema_valor!$A$2:$C$5,3,FALSE) * VLOOKUP(E114,d_deposito!$A$2:$B$5,2,FALSE))</f>
        <v>2250</v>
      </c>
      <c r="G114">
        <v>699900</v>
      </c>
      <c r="H114" s="1">
        <v>2</v>
      </c>
      <c r="I114" s="15">
        <f>IF(H114=1, IF(L114=1, INT(G114 * (1 - VALUE(SUBSTITUTE(d_correo!$B$2, ",", ".")))), G114), -F114)</f>
        <v>-2250</v>
      </c>
      <c r="J114" s="2">
        <v>46171</v>
      </c>
      <c r="K114" s="3">
        <v>0.85069444444444453</v>
      </c>
      <c r="L114" s="1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11"/>
  <sheetViews>
    <sheetView workbookViewId="0"/>
  </sheetViews>
  <sheetFormatPr baseColWidth="10" defaultRowHeight="15" x14ac:dyDescent="0.25"/>
  <cols>
    <col min="1" max="2" width="12" customWidth="1"/>
  </cols>
  <sheetData>
    <row r="1" spans="1:2" x14ac:dyDescent="0.25">
      <c r="A1" t="s">
        <v>219</v>
      </c>
      <c r="B1" t="s">
        <v>220</v>
      </c>
    </row>
    <row r="2" spans="1:2" x14ac:dyDescent="0.25">
      <c r="A2" s="1">
        <v>0</v>
      </c>
      <c r="B2" s="1" t="s">
        <v>32</v>
      </c>
    </row>
    <row r="3" spans="1:2" x14ac:dyDescent="0.25">
      <c r="A3" s="1">
        <v>1</v>
      </c>
      <c r="B3" s="1" t="s">
        <v>29</v>
      </c>
    </row>
    <row r="4" spans="1:2" x14ac:dyDescent="0.25">
      <c r="A4" s="1">
        <v>2</v>
      </c>
      <c r="B4" s="1" t="s">
        <v>30</v>
      </c>
    </row>
    <row r="5" spans="1:2" x14ac:dyDescent="0.25">
      <c r="A5" s="1">
        <v>3</v>
      </c>
      <c r="B5" s="1" t="s">
        <v>31</v>
      </c>
    </row>
    <row r="6" spans="1:2" x14ac:dyDescent="0.25">
      <c r="A6" s="1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10"/>
  <sheetViews>
    <sheetView workbookViewId="0"/>
  </sheetViews>
  <sheetFormatPr baseColWidth="10" defaultRowHeight="15" x14ac:dyDescent="0.25"/>
  <cols>
    <col min="1" max="2" width="12" customWidth="1"/>
  </cols>
  <sheetData>
    <row r="1" spans="1:2" x14ac:dyDescent="0.25">
      <c r="A1" t="s">
        <v>221</v>
      </c>
      <c r="B1" t="s">
        <v>222</v>
      </c>
    </row>
    <row r="2" spans="1:2" x14ac:dyDescent="0.25">
      <c r="A2" s="1">
        <v>1</v>
      </c>
      <c r="B2" s="1" t="s">
        <v>28</v>
      </c>
    </row>
    <row r="3" spans="1:2" x14ac:dyDescent="0.25">
      <c r="A3" s="1">
        <v>2</v>
      </c>
      <c r="B3" s="1" t="s">
        <v>33</v>
      </c>
    </row>
    <row r="4" spans="1:2" x14ac:dyDescent="0.25">
      <c r="A4" s="1">
        <v>3</v>
      </c>
      <c r="B4" s="1" t="s">
        <v>140</v>
      </c>
    </row>
    <row r="5" spans="1:2" x14ac:dyDescent="0.25">
      <c r="A5" s="1"/>
    </row>
    <row r="6" spans="1:2" x14ac:dyDescent="0.25">
      <c r="A6" s="1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5"/>
  <sheetViews>
    <sheetView workbookViewId="0"/>
  </sheetViews>
  <sheetFormatPr baseColWidth="10" defaultRowHeight="15" x14ac:dyDescent="0.25"/>
  <cols>
    <col min="1" max="3" width="12" customWidth="1"/>
  </cols>
  <sheetData>
    <row r="1" spans="1:3" x14ac:dyDescent="0.25">
      <c r="A1" t="s">
        <v>223</v>
      </c>
      <c r="B1" t="s">
        <v>20</v>
      </c>
      <c r="C1" t="s">
        <v>25</v>
      </c>
    </row>
    <row r="2" spans="1:3" x14ac:dyDescent="0.25">
      <c r="A2" s="1">
        <v>1</v>
      </c>
      <c r="B2" s="1" t="s">
        <v>21</v>
      </c>
      <c r="C2">
        <v>5000</v>
      </c>
    </row>
    <row r="3" spans="1:3" x14ac:dyDescent="0.25">
      <c r="A3" s="1">
        <v>2</v>
      </c>
      <c r="B3" s="1" t="s">
        <v>22</v>
      </c>
      <c r="C3">
        <v>45000</v>
      </c>
    </row>
    <row r="4" spans="1:3" x14ac:dyDescent="0.25">
      <c r="A4" s="1">
        <v>3</v>
      </c>
      <c r="B4" s="1" t="s">
        <v>23</v>
      </c>
      <c r="C4">
        <v>90000</v>
      </c>
    </row>
    <row r="5" spans="1:3" x14ac:dyDescent="0.25">
      <c r="A5" s="1">
        <v>4</v>
      </c>
      <c r="B5" s="1" t="s">
        <v>24</v>
      </c>
      <c r="C5">
        <v>60000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257"/>
  <sheetViews>
    <sheetView topLeftCell="A1226" workbookViewId="0">
      <selection activeCell="A1225" sqref="A1223:A1257"/>
    </sheetView>
  </sheetViews>
  <sheetFormatPr baseColWidth="10" defaultRowHeight="15" x14ac:dyDescent="0.25"/>
  <cols>
    <col min="1" max="1" width="4.85546875" customWidth="1"/>
    <col min="2" max="3" width="5.7109375" customWidth="1"/>
    <col min="4" max="4" width="12" customWidth="1"/>
  </cols>
  <sheetData>
    <row r="1" spans="1:6" x14ac:dyDescent="0.25">
      <c r="A1" t="s">
        <v>0</v>
      </c>
      <c r="B1" t="s">
        <v>168</v>
      </c>
      <c r="C1" t="s">
        <v>274</v>
      </c>
      <c r="D1" t="s">
        <v>273</v>
      </c>
      <c r="E1" t="s">
        <v>169</v>
      </c>
      <c r="F1" t="s">
        <v>170</v>
      </c>
    </row>
    <row r="2" spans="1:6" x14ac:dyDescent="0.25">
      <c r="A2" s="1">
        <v>1</v>
      </c>
      <c r="B2" s="1">
        <v>1</v>
      </c>
      <c r="C2" s="1">
        <v>9</v>
      </c>
      <c r="D2">
        <v>8800</v>
      </c>
      <c r="E2" s="2">
        <v>46162</v>
      </c>
      <c r="F2" s="18">
        <v>0.45624999999999999</v>
      </c>
    </row>
    <row r="3" spans="1:6" x14ac:dyDescent="0.25">
      <c r="A3" s="1">
        <v>1</v>
      </c>
      <c r="B3" s="1">
        <v>2</v>
      </c>
      <c r="C3" s="1">
        <v>12</v>
      </c>
      <c r="D3">
        <v>11950</v>
      </c>
      <c r="E3" s="2">
        <v>46162</v>
      </c>
      <c r="F3" s="18">
        <v>0.45624999999999999</v>
      </c>
    </row>
    <row r="4" spans="1:6" x14ac:dyDescent="0.25">
      <c r="A4" s="1">
        <v>1</v>
      </c>
      <c r="B4" s="1">
        <v>3</v>
      </c>
      <c r="C4" s="1">
        <v>15</v>
      </c>
      <c r="D4">
        <v>12000</v>
      </c>
      <c r="E4" s="2">
        <v>46162</v>
      </c>
      <c r="F4" s="19">
        <v>0.45624999999999999</v>
      </c>
    </row>
    <row r="5" spans="1:6" x14ac:dyDescent="0.25">
      <c r="A5" s="1">
        <v>1</v>
      </c>
      <c r="B5" s="1">
        <v>4</v>
      </c>
      <c r="C5" s="1">
        <v>18</v>
      </c>
      <c r="D5">
        <v>11500</v>
      </c>
      <c r="E5" s="2">
        <v>46162</v>
      </c>
      <c r="F5" s="18">
        <v>0.45624999999999999</v>
      </c>
    </row>
    <row r="6" spans="1:6" x14ac:dyDescent="0.25">
      <c r="A6" s="1">
        <v>1</v>
      </c>
      <c r="B6" s="1">
        <v>5</v>
      </c>
      <c r="C6" s="1">
        <v>21</v>
      </c>
      <c r="D6">
        <v>12000</v>
      </c>
      <c r="E6" s="2">
        <v>46162</v>
      </c>
      <c r="F6" s="18">
        <v>0.45624999999999999</v>
      </c>
    </row>
    <row r="7" spans="1:6" x14ac:dyDescent="0.25">
      <c r="A7" s="1">
        <v>1</v>
      </c>
      <c r="B7" s="1">
        <v>6</v>
      </c>
      <c r="C7" s="1">
        <v>24</v>
      </c>
      <c r="D7">
        <v>4995</v>
      </c>
      <c r="E7" s="2">
        <v>46162</v>
      </c>
      <c r="F7" s="18">
        <v>0.45624999999999999</v>
      </c>
    </row>
    <row r="8" spans="1:6" x14ac:dyDescent="0.25">
      <c r="A8" s="1">
        <v>1</v>
      </c>
      <c r="B8" s="1">
        <v>7</v>
      </c>
      <c r="C8" s="1">
        <v>9</v>
      </c>
      <c r="D8">
        <v>4600</v>
      </c>
      <c r="E8" s="2">
        <v>46164</v>
      </c>
      <c r="F8" s="18">
        <v>0.41319444444444442</v>
      </c>
    </row>
    <row r="9" spans="1:6" x14ac:dyDescent="0.25">
      <c r="A9" s="1">
        <v>1</v>
      </c>
      <c r="B9" s="1">
        <v>8</v>
      </c>
      <c r="C9" s="1">
        <v>12</v>
      </c>
      <c r="D9">
        <v>15800</v>
      </c>
      <c r="E9" s="2">
        <v>46164</v>
      </c>
      <c r="F9" s="18">
        <v>0.41319444444444442</v>
      </c>
    </row>
    <row r="10" spans="1:6" x14ac:dyDescent="0.25">
      <c r="A10" s="1">
        <v>1</v>
      </c>
      <c r="B10" s="1">
        <v>9</v>
      </c>
      <c r="C10" s="1">
        <v>15</v>
      </c>
      <c r="D10">
        <v>7200</v>
      </c>
      <c r="E10" s="2">
        <v>46164</v>
      </c>
      <c r="F10" s="18">
        <v>0.41319444444444442</v>
      </c>
    </row>
    <row r="11" spans="1:6" x14ac:dyDescent="0.25">
      <c r="A11" s="1">
        <v>1</v>
      </c>
      <c r="B11" s="1">
        <v>10</v>
      </c>
      <c r="C11" s="1">
        <v>18</v>
      </c>
      <c r="D11">
        <v>2400</v>
      </c>
      <c r="E11" s="2">
        <v>46164</v>
      </c>
      <c r="F11" s="18">
        <v>0.41319444444444442</v>
      </c>
    </row>
    <row r="12" spans="1:6" x14ac:dyDescent="0.25">
      <c r="A12" s="1">
        <v>1</v>
      </c>
      <c r="B12" s="1">
        <v>11</v>
      </c>
      <c r="C12" s="1">
        <v>21</v>
      </c>
      <c r="D12">
        <v>5400</v>
      </c>
      <c r="E12" s="2">
        <v>46164</v>
      </c>
      <c r="F12" s="18">
        <v>0.41319444444444442</v>
      </c>
    </row>
    <row r="13" spans="1:6" x14ac:dyDescent="0.25">
      <c r="A13" s="1">
        <v>1</v>
      </c>
      <c r="B13" s="1">
        <v>12</v>
      </c>
      <c r="C13" s="1">
        <v>24</v>
      </c>
      <c r="D13">
        <v>2400</v>
      </c>
      <c r="E13" s="2">
        <v>46164</v>
      </c>
      <c r="F13" s="18">
        <v>0.41319444444444442</v>
      </c>
    </row>
    <row r="14" spans="1:6" x14ac:dyDescent="0.25">
      <c r="A14" s="1">
        <v>1</v>
      </c>
      <c r="B14" s="1">
        <v>13</v>
      </c>
      <c r="C14" s="1">
        <v>9</v>
      </c>
      <c r="D14">
        <v>3900</v>
      </c>
      <c r="E14" s="2">
        <v>46164</v>
      </c>
      <c r="F14" s="18">
        <v>0.68333333333333324</v>
      </c>
    </row>
    <row r="15" spans="1:6" x14ac:dyDescent="0.25">
      <c r="A15" s="1">
        <v>1</v>
      </c>
      <c r="B15" s="1">
        <v>14</v>
      </c>
      <c r="C15" s="1">
        <v>12</v>
      </c>
      <c r="D15">
        <v>6400</v>
      </c>
      <c r="E15" s="2">
        <v>46164</v>
      </c>
      <c r="F15" s="18">
        <v>0.68333333333333324</v>
      </c>
    </row>
    <row r="16" spans="1:6" x14ac:dyDescent="0.25">
      <c r="A16" s="1">
        <v>1</v>
      </c>
      <c r="B16" s="1">
        <v>15</v>
      </c>
      <c r="C16" s="1">
        <v>15</v>
      </c>
      <c r="D16">
        <v>3800</v>
      </c>
      <c r="E16" s="2">
        <v>46164</v>
      </c>
      <c r="F16" s="18">
        <v>0.68333333333333324</v>
      </c>
    </row>
    <row r="17" spans="1:6" x14ac:dyDescent="0.25">
      <c r="A17" s="1">
        <v>1</v>
      </c>
      <c r="B17" s="1">
        <v>16</v>
      </c>
      <c r="C17" s="1">
        <v>18</v>
      </c>
      <c r="D17">
        <v>2400</v>
      </c>
      <c r="E17" s="2">
        <v>46164</v>
      </c>
      <c r="F17" s="18">
        <v>0.68333333333333324</v>
      </c>
    </row>
    <row r="18" spans="1:6" x14ac:dyDescent="0.25">
      <c r="A18" s="1">
        <v>1</v>
      </c>
      <c r="B18" s="1">
        <v>17</v>
      </c>
      <c r="C18" s="1">
        <v>21</v>
      </c>
      <c r="D18">
        <v>3900</v>
      </c>
      <c r="E18" s="2">
        <v>46164</v>
      </c>
      <c r="F18" s="18">
        <v>0.68333333333333324</v>
      </c>
    </row>
    <row r="19" spans="1:6" x14ac:dyDescent="0.25">
      <c r="A19" s="1">
        <v>1</v>
      </c>
      <c r="B19" s="1">
        <v>18</v>
      </c>
      <c r="C19" s="1">
        <v>24</v>
      </c>
      <c r="D19">
        <v>7500</v>
      </c>
      <c r="E19" s="2">
        <v>46164</v>
      </c>
      <c r="F19" s="18">
        <v>0.68402777777777779</v>
      </c>
    </row>
    <row r="20" spans="1:6" x14ac:dyDescent="0.25">
      <c r="A20" s="1">
        <v>1</v>
      </c>
      <c r="B20" s="1">
        <v>19</v>
      </c>
      <c r="C20" s="1">
        <v>9</v>
      </c>
      <c r="D20">
        <v>8400</v>
      </c>
      <c r="E20" s="2">
        <v>46166</v>
      </c>
      <c r="F20" s="18">
        <v>0.95416666666666661</v>
      </c>
    </row>
    <row r="21" spans="1:6" x14ac:dyDescent="0.25">
      <c r="A21" s="1">
        <v>1</v>
      </c>
      <c r="B21" s="1">
        <v>20</v>
      </c>
      <c r="C21" s="1">
        <v>12</v>
      </c>
      <c r="D21">
        <v>10200</v>
      </c>
      <c r="E21" s="2">
        <v>46166</v>
      </c>
      <c r="F21" s="18">
        <v>0.95416666666666661</v>
      </c>
    </row>
    <row r="22" spans="1:6" x14ac:dyDescent="0.25">
      <c r="A22" s="1">
        <v>1</v>
      </c>
      <c r="B22" s="1">
        <v>21</v>
      </c>
      <c r="C22" s="1">
        <v>15</v>
      </c>
      <c r="D22">
        <v>7900</v>
      </c>
      <c r="E22" s="2">
        <v>46166</v>
      </c>
      <c r="F22" s="18">
        <v>0.95416666666666705</v>
      </c>
    </row>
    <row r="23" spans="1:6" x14ac:dyDescent="0.25">
      <c r="A23" s="1">
        <v>1</v>
      </c>
      <c r="B23" s="1">
        <v>22</v>
      </c>
      <c r="C23" s="1">
        <v>18</v>
      </c>
      <c r="D23">
        <v>9500</v>
      </c>
      <c r="E23" s="2">
        <v>46166</v>
      </c>
      <c r="F23" s="18">
        <v>0.95416666666666705</v>
      </c>
    </row>
    <row r="24" spans="1:6" x14ac:dyDescent="0.25">
      <c r="A24" s="1">
        <v>1</v>
      </c>
      <c r="B24" s="1">
        <v>23</v>
      </c>
      <c r="C24" s="1">
        <v>21</v>
      </c>
      <c r="D24">
        <v>9600</v>
      </c>
      <c r="E24" s="2">
        <v>46166</v>
      </c>
      <c r="F24" s="18">
        <v>0.95416666666666705</v>
      </c>
    </row>
    <row r="25" spans="1:6" x14ac:dyDescent="0.25">
      <c r="A25" s="1">
        <v>1</v>
      </c>
      <c r="B25" s="1">
        <v>24</v>
      </c>
      <c r="C25" s="1">
        <v>24</v>
      </c>
      <c r="D25">
        <v>3900</v>
      </c>
      <c r="E25" s="2">
        <v>46166</v>
      </c>
      <c r="F25" s="18">
        <v>0.95416666666666705</v>
      </c>
    </row>
    <row r="26" spans="1:6" x14ac:dyDescent="0.25">
      <c r="A26" s="1">
        <v>1</v>
      </c>
      <c r="B26" s="1">
        <v>25</v>
      </c>
      <c r="C26" s="1">
        <v>9</v>
      </c>
      <c r="D26">
        <v>31800</v>
      </c>
      <c r="E26" s="2">
        <v>46168</v>
      </c>
      <c r="F26" s="18">
        <v>5.5555555555555558E-3</v>
      </c>
    </row>
    <row r="27" spans="1:6" x14ac:dyDescent="0.25">
      <c r="A27" s="1">
        <v>1</v>
      </c>
      <c r="B27" s="1">
        <v>26</v>
      </c>
      <c r="C27" s="1">
        <v>12</v>
      </c>
      <c r="D27">
        <v>9700</v>
      </c>
      <c r="E27" s="2">
        <v>46168</v>
      </c>
      <c r="F27" s="18">
        <v>5.5555555555555558E-3</v>
      </c>
    </row>
    <row r="28" spans="1:6" x14ac:dyDescent="0.25">
      <c r="A28" s="1">
        <v>1</v>
      </c>
      <c r="B28" s="1">
        <v>27</v>
      </c>
      <c r="C28" s="1">
        <v>15</v>
      </c>
      <c r="D28">
        <v>9200</v>
      </c>
      <c r="E28" s="2">
        <v>46168</v>
      </c>
      <c r="F28" s="18">
        <v>5.5555555555555601E-3</v>
      </c>
    </row>
    <row r="29" spans="1:6" x14ac:dyDescent="0.25">
      <c r="A29" s="1">
        <v>1</v>
      </c>
      <c r="B29" s="1">
        <v>28</v>
      </c>
      <c r="C29" s="1">
        <v>18</v>
      </c>
      <c r="D29">
        <v>9500</v>
      </c>
      <c r="E29" s="2">
        <v>46168</v>
      </c>
      <c r="F29" s="18">
        <v>5.5555555555555601E-3</v>
      </c>
    </row>
    <row r="30" spans="1:6" x14ac:dyDescent="0.25">
      <c r="A30" s="1">
        <v>1</v>
      </c>
      <c r="B30" s="1">
        <v>29</v>
      </c>
      <c r="C30" s="1">
        <v>21</v>
      </c>
      <c r="D30">
        <v>9400</v>
      </c>
      <c r="E30" s="2">
        <v>46168</v>
      </c>
      <c r="F30" s="18">
        <v>5.5555555555555601E-3</v>
      </c>
    </row>
    <row r="31" spans="1:6" x14ac:dyDescent="0.25">
      <c r="A31" s="1">
        <v>1</v>
      </c>
      <c r="B31" s="1">
        <v>30</v>
      </c>
      <c r="C31" s="1">
        <v>24</v>
      </c>
      <c r="D31">
        <v>9100</v>
      </c>
      <c r="E31" s="2">
        <v>46168</v>
      </c>
      <c r="F31" s="18">
        <v>5.5555555555555601E-3</v>
      </c>
    </row>
    <row r="32" spans="1:6" x14ac:dyDescent="0.25">
      <c r="A32" s="1">
        <v>1</v>
      </c>
      <c r="B32" s="1">
        <v>31</v>
      </c>
      <c r="C32" s="1">
        <v>9</v>
      </c>
      <c r="D32">
        <v>31400</v>
      </c>
      <c r="E32" s="2">
        <v>46168</v>
      </c>
      <c r="F32" s="18">
        <v>0.51666666666666672</v>
      </c>
    </row>
    <row r="33" spans="1:6" x14ac:dyDescent="0.25">
      <c r="A33" s="1">
        <v>1</v>
      </c>
      <c r="B33" s="1">
        <v>32</v>
      </c>
      <c r="C33" s="1">
        <v>12</v>
      </c>
      <c r="D33">
        <v>9400</v>
      </c>
      <c r="E33" s="2">
        <v>46168</v>
      </c>
      <c r="F33" s="18">
        <v>0.51666666666666672</v>
      </c>
    </row>
    <row r="34" spans="1:6" x14ac:dyDescent="0.25">
      <c r="A34" s="1">
        <v>1</v>
      </c>
      <c r="B34" s="1">
        <v>33</v>
      </c>
      <c r="C34" s="1">
        <v>15</v>
      </c>
      <c r="D34">
        <v>8700</v>
      </c>
      <c r="E34" s="2">
        <v>46168</v>
      </c>
      <c r="F34" s="18">
        <v>0.51666666666666705</v>
      </c>
    </row>
    <row r="35" spans="1:6" x14ac:dyDescent="0.25">
      <c r="A35" s="1">
        <v>1</v>
      </c>
      <c r="B35" s="1">
        <v>34</v>
      </c>
      <c r="C35" s="1">
        <v>18</v>
      </c>
      <c r="D35">
        <v>8700</v>
      </c>
      <c r="E35" s="2">
        <v>46168</v>
      </c>
      <c r="F35" s="18">
        <v>0.51666666666666705</v>
      </c>
    </row>
    <row r="36" spans="1:6" x14ac:dyDescent="0.25">
      <c r="A36" s="1">
        <v>1</v>
      </c>
      <c r="B36" s="1">
        <v>35</v>
      </c>
      <c r="C36" s="1">
        <v>21</v>
      </c>
      <c r="D36">
        <v>9400</v>
      </c>
      <c r="E36" s="2">
        <v>46168</v>
      </c>
      <c r="F36" s="18">
        <v>0.51666666666666705</v>
      </c>
    </row>
    <row r="37" spans="1:6" x14ac:dyDescent="0.25">
      <c r="A37" s="1">
        <v>1</v>
      </c>
      <c r="B37" s="1">
        <v>36</v>
      </c>
      <c r="C37" s="1">
        <v>24</v>
      </c>
      <c r="D37">
        <v>9100</v>
      </c>
      <c r="E37" s="2">
        <v>46168</v>
      </c>
      <c r="F37" s="18">
        <v>0.51666666666666705</v>
      </c>
    </row>
    <row r="38" spans="1:6" x14ac:dyDescent="0.25">
      <c r="A38" s="1">
        <v>1</v>
      </c>
      <c r="B38" s="1">
        <v>37</v>
      </c>
      <c r="C38" s="1">
        <v>9</v>
      </c>
      <c r="D38">
        <v>7900</v>
      </c>
      <c r="E38" s="2">
        <v>46170</v>
      </c>
      <c r="F38" s="18">
        <v>0.44861111111111113</v>
      </c>
    </row>
    <row r="39" spans="1:6" x14ac:dyDescent="0.25">
      <c r="A39" s="1">
        <v>1</v>
      </c>
      <c r="B39" s="1">
        <v>38</v>
      </c>
      <c r="C39" s="1">
        <v>12</v>
      </c>
      <c r="D39">
        <v>12400</v>
      </c>
      <c r="E39" s="2">
        <v>46170</v>
      </c>
      <c r="F39" s="18">
        <v>0.44861111111111113</v>
      </c>
    </row>
    <row r="40" spans="1:6" x14ac:dyDescent="0.25">
      <c r="A40" s="1">
        <v>1</v>
      </c>
      <c r="B40" s="1">
        <v>39</v>
      </c>
      <c r="C40" s="1">
        <v>15</v>
      </c>
      <c r="D40">
        <v>10000</v>
      </c>
      <c r="E40" s="2">
        <v>46170</v>
      </c>
      <c r="F40" s="18">
        <v>0.44861111111111102</v>
      </c>
    </row>
    <row r="41" spans="1:6" x14ac:dyDescent="0.25">
      <c r="A41" s="1">
        <v>1</v>
      </c>
      <c r="B41" s="1">
        <v>40</v>
      </c>
      <c r="C41" s="1">
        <v>18</v>
      </c>
      <c r="D41">
        <v>5400</v>
      </c>
      <c r="E41" s="2">
        <v>46170</v>
      </c>
      <c r="F41" s="18">
        <v>0.44861111111111102</v>
      </c>
    </row>
    <row r="42" spans="1:6" x14ac:dyDescent="0.25">
      <c r="A42" s="1">
        <v>1</v>
      </c>
      <c r="B42" s="1">
        <v>41</v>
      </c>
      <c r="C42" s="1">
        <v>21</v>
      </c>
      <c r="D42">
        <v>7240</v>
      </c>
      <c r="E42" s="2">
        <v>46170</v>
      </c>
      <c r="F42" s="18">
        <v>0.44861111111111102</v>
      </c>
    </row>
    <row r="43" spans="1:6" x14ac:dyDescent="0.25">
      <c r="A43" s="1">
        <v>1</v>
      </c>
      <c r="B43" s="1">
        <v>42</v>
      </c>
      <c r="C43" s="1">
        <v>24</v>
      </c>
      <c r="D43">
        <v>5500</v>
      </c>
      <c r="E43" s="2">
        <v>46170</v>
      </c>
      <c r="F43" s="18">
        <v>0.44861111111111102</v>
      </c>
    </row>
    <row r="44" spans="1:6" x14ac:dyDescent="0.25">
      <c r="A44" s="1">
        <v>1</v>
      </c>
      <c r="B44" s="1">
        <v>43</v>
      </c>
      <c r="C44" s="1">
        <v>9</v>
      </c>
      <c r="D44">
        <v>6000</v>
      </c>
      <c r="E44" s="2">
        <v>46171</v>
      </c>
      <c r="F44" s="18">
        <v>0.88194444444444453</v>
      </c>
    </row>
    <row r="45" spans="1:6" x14ac:dyDescent="0.25">
      <c r="A45" s="1">
        <v>1</v>
      </c>
      <c r="B45" s="1">
        <v>44</v>
      </c>
      <c r="C45" s="1">
        <v>12</v>
      </c>
      <c r="D45">
        <v>8900</v>
      </c>
      <c r="E45" s="2">
        <v>46171</v>
      </c>
      <c r="F45" s="18">
        <v>0.88194444444444453</v>
      </c>
    </row>
    <row r="46" spans="1:6" x14ac:dyDescent="0.25">
      <c r="A46" s="1">
        <v>1</v>
      </c>
      <c r="B46" s="1">
        <v>45</v>
      </c>
      <c r="C46" s="1">
        <v>15</v>
      </c>
      <c r="D46">
        <v>6000</v>
      </c>
      <c r="E46" s="2">
        <v>46171</v>
      </c>
      <c r="F46" s="18">
        <v>0.88194444444444497</v>
      </c>
    </row>
    <row r="47" spans="1:6" x14ac:dyDescent="0.25">
      <c r="A47" s="1">
        <v>1</v>
      </c>
      <c r="B47" s="1">
        <v>46</v>
      </c>
      <c r="C47" s="1">
        <v>18</v>
      </c>
      <c r="D47">
        <v>6000</v>
      </c>
      <c r="E47" s="2">
        <v>46171</v>
      </c>
      <c r="F47" s="18">
        <v>0.88194444444444497</v>
      </c>
    </row>
    <row r="48" spans="1:6" x14ac:dyDescent="0.25">
      <c r="A48" s="1">
        <v>1</v>
      </c>
      <c r="B48" s="1">
        <v>47</v>
      </c>
      <c r="C48" s="1">
        <v>21</v>
      </c>
      <c r="D48">
        <v>6000</v>
      </c>
      <c r="E48" s="2">
        <v>46171</v>
      </c>
      <c r="F48" s="18">
        <v>0.88194444444444497</v>
      </c>
    </row>
    <row r="49" spans="1:6" x14ac:dyDescent="0.25">
      <c r="A49" s="1">
        <v>1</v>
      </c>
      <c r="B49" s="1">
        <v>48</v>
      </c>
      <c r="C49" s="1">
        <v>24</v>
      </c>
      <c r="D49">
        <v>3800</v>
      </c>
      <c r="E49" s="2">
        <v>46171</v>
      </c>
      <c r="F49" s="18">
        <v>0.88194444444444497</v>
      </c>
    </row>
    <row r="50" spans="1:6" x14ac:dyDescent="0.25">
      <c r="A50" s="1">
        <v>1</v>
      </c>
      <c r="B50" s="1">
        <v>49</v>
      </c>
      <c r="C50" s="1">
        <v>1</v>
      </c>
      <c r="D50">
        <v>15000</v>
      </c>
      <c r="E50" s="2">
        <v>46173</v>
      </c>
      <c r="F50" s="4">
        <v>7.6099537037037035E-2</v>
      </c>
    </row>
    <row r="51" spans="1:6" x14ac:dyDescent="0.25">
      <c r="A51" s="1">
        <v>1</v>
      </c>
      <c r="B51" s="1">
        <v>50</v>
      </c>
      <c r="C51" s="1">
        <v>2</v>
      </c>
      <c r="D51">
        <v>8400</v>
      </c>
      <c r="E51" s="2">
        <v>46173</v>
      </c>
      <c r="F51" s="4">
        <v>7.6099537037037035E-2</v>
      </c>
    </row>
    <row r="52" spans="1:6" x14ac:dyDescent="0.25">
      <c r="A52" s="1">
        <v>1</v>
      </c>
      <c r="B52" s="1">
        <v>51</v>
      </c>
      <c r="C52" s="1">
        <v>3</v>
      </c>
      <c r="D52">
        <v>80000</v>
      </c>
      <c r="E52" s="2">
        <v>46173</v>
      </c>
      <c r="F52" s="4">
        <v>7.6099537037037035E-2</v>
      </c>
    </row>
    <row r="53" spans="1:6" x14ac:dyDescent="0.25">
      <c r="A53" s="1">
        <v>1</v>
      </c>
      <c r="B53" s="1">
        <v>52</v>
      </c>
      <c r="C53" s="1">
        <v>9</v>
      </c>
      <c r="D53">
        <v>12800</v>
      </c>
      <c r="E53" s="2">
        <v>46173</v>
      </c>
      <c r="F53" s="4">
        <v>7.6099537037037035E-2</v>
      </c>
    </row>
    <row r="54" spans="1:6" x14ac:dyDescent="0.25">
      <c r="A54" s="1">
        <v>1</v>
      </c>
      <c r="B54" s="1">
        <v>53</v>
      </c>
      <c r="C54" s="1">
        <v>10</v>
      </c>
      <c r="D54">
        <v>653000</v>
      </c>
      <c r="E54" s="2">
        <v>46173</v>
      </c>
      <c r="F54" s="4">
        <v>7.6099537037037035E-2</v>
      </c>
    </row>
    <row r="55" spans="1:6" x14ac:dyDescent="0.25">
      <c r="A55" s="1">
        <v>1</v>
      </c>
      <c r="B55" s="1">
        <v>54</v>
      </c>
      <c r="C55" s="1">
        <v>11</v>
      </c>
      <c r="D55">
        <v>807692</v>
      </c>
      <c r="E55" s="2">
        <v>46173</v>
      </c>
      <c r="F55" s="4">
        <v>7.6099537037037035E-2</v>
      </c>
    </row>
    <row r="56" spans="1:6" x14ac:dyDescent="0.25">
      <c r="A56" s="1">
        <v>1</v>
      </c>
      <c r="B56" s="1">
        <v>55</v>
      </c>
      <c r="C56" s="1">
        <v>12</v>
      </c>
      <c r="D56">
        <v>29200</v>
      </c>
      <c r="E56" s="2">
        <v>46173</v>
      </c>
      <c r="F56" s="4">
        <v>7.6099537037037035E-2</v>
      </c>
    </row>
    <row r="57" spans="1:6" x14ac:dyDescent="0.25">
      <c r="A57" s="1">
        <v>1</v>
      </c>
      <c r="B57" s="1">
        <v>56</v>
      </c>
      <c r="C57" s="1">
        <v>13</v>
      </c>
      <c r="D57">
        <v>44800</v>
      </c>
      <c r="E57" s="2">
        <v>46173</v>
      </c>
      <c r="F57" s="4">
        <v>7.6099537037037035E-2</v>
      </c>
    </row>
    <row r="58" spans="1:6" x14ac:dyDescent="0.25">
      <c r="A58" s="1">
        <v>1</v>
      </c>
      <c r="B58" s="1">
        <v>57</v>
      </c>
      <c r="C58" s="1">
        <v>14</v>
      </c>
      <c r="D58">
        <v>750000</v>
      </c>
      <c r="E58" s="2">
        <v>46173</v>
      </c>
      <c r="F58" s="4">
        <v>7.6099537037037035E-2</v>
      </c>
    </row>
    <row r="59" spans="1:6" x14ac:dyDescent="0.25">
      <c r="A59" s="1">
        <v>1</v>
      </c>
      <c r="B59" s="1">
        <v>58</v>
      </c>
      <c r="C59" s="1">
        <v>15</v>
      </c>
      <c r="D59">
        <v>9000</v>
      </c>
      <c r="E59" s="2">
        <v>46173</v>
      </c>
      <c r="F59" s="4">
        <v>7.6099537037037035E-2</v>
      </c>
    </row>
    <row r="60" spans="1:6" x14ac:dyDescent="0.25">
      <c r="A60" s="1">
        <v>1</v>
      </c>
      <c r="B60" s="1">
        <v>59</v>
      </c>
      <c r="C60" s="1">
        <v>16</v>
      </c>
      <c r="D60">
        <v>138500</v>
      </c>
      <c r="E60" s="2">
        <v>46173</v>
      </c>
      <c r="F60" s="4">
        <v>7.6099537037037035E-2</v>
      </c>
    </row>
    <row r="61" spans="1:6" x14ac:dyDescent="0.25">
      <c r="A61" s="1">
        <v>1</v>
      </c>
      <c r="B61" s="1">
        <v>60</v>
      </c>
      <c r="C61" s="1">
        <v>17</v>
      </c>
      <c r="D61">
        <v>872625</v>
      </c>
      <c r="E61" s="2">
        <v>46173</v>
      </c>
      <c r="F61" s="4">
        <v>7.6099537037037035E-2</v>
      </c>
    </row>
    <row r="62" spans="1:6" x14ac:dyDescent="0.25">
      <c r="A62" s="1">
        <v>1</v>
      </c>
      <c r="B62" s="1">
        <v>61</v>
      </c>
      <c r="C62" s="1">
        <v>18</v>
      </c>
      <c r="D62">
        <v>3900</v>
      </c>
      <c r="E62" s="2">
        <v>46173</v>
      </c>
      <c r="F62" s="4">
        <v>7.6099537037037035E-2</v>
      </c>
    </row>
    <row r="63" spans="1:6" x14ac:dyDescent="0.25">
      <c r="A63" s="1">
        <v>1</v>
      </c>
      <c r="B63" s="1">
        <v>62</v>
      </c>
      <c r="C63" s="1">
        <v>19</v>
      </c>
      <c r="D63">
        <v>480000</v>
      </c>
      <c r="E63" s="2">
        <v>46173</v>
      </c>
      <c r="F63" s="4">
        <v>7.6099537037037035E-2</v>
      </c>
    </row>
    <row r="64" spans="1:6" x14ac:dyDescent="0.25">
      <c r="A64" s="1">
        <v>1</v>
      </c>
      <c r="B64" s="1">
        <v>63</v>
      </c>
      <c r="C64" s="1">
        <v>20</v>
      </c>
      <c r="D64">
        <v>750000</v>
      </c>
      <c r="E64" s="2">
        <v>46173</v>
      </c>
      <c r="F64" s="4">
        <v>7.6099537037037035E-2</v>
      </c>
    </row>
    <row r="65" spans="1:6" x14ac:dyDescent="0.25">
      <c r="A65" s="1">
        <v>1</v>
      </c>
      <c r="B65" s="1">
        <v>64</v>
      </c>
      <c r="C65" s="1">
        <v>21</v>
      </c>
      <c r="D65">
        <v>7700</v>
      </c>
      <c r="E65" s="2">
        <v>46173</v>
      </c>
      <c r="F65" s="4">
        <v>7.6099537037037035E-2</v>
      </c>
    </row>
    <row r="66" spans="1:6" x14ac:dyDescent="0.25">
      <c r="A66" s="1">
        <v>1</v>
      </c>
      <c r="B66" s="1">
        <v>65</v>
      </c>
      <c r="C66" s="1">
        <v>22</v>
      </c>
      <c r="D66">
        <v>445000</v>
      </c>
      <c r="E66" s="2">
        <v>46173</v>
      </c>
      <c r="F66" s="4">
        <v>7.6099537037037035E-2</v>
      </c>
    </row>
    <row r="67" spans="1:6" x14ac:dyDescent="0.25">
      <c r="A67" s="1">
        <v>1</v>
      </c>
      <c r="B67" s="1">
        <v>66</v>
      </c>
      <c r="C67" s="1">
        <v>23</v>
      </c>
      <c r="D67">
        <v>828000</v>
      </c>
      <c r="E67" s="2">
        <v>46173</v>
      </c>
      <c r="F67" s="4">
        <v>7.6099537037037035E-2</v>
      </c>
    </row>
    <row r="68" spans="1:6" x14ac:dyDescent="0.25">
      <c r="A68" s="1">
        <v>1</v>
      </c>
      <c r="B68" s="1">
        <v>67</v>
      </c>
      <c r="C68" s="1">
        <v>24</v>
      </c>
      <c r="D68">
        <v>3000</v>
      </c>
      <c r="E68" s="2">
        <v>46173</v>
      </c>
      <c r="F68" s="4">
        <v>7.6099537037037035E-2</v>
      </c>
    </row>
    <row r="69" spans="1:6" x14ac:dyDescent="0.25">
      <c r="A69" s="1">
        <v>1</v>
      </c>
      <c r="B69" s="1">
        <v>68</v>
      </c>
      <c r="C69" s="1">
        <v>25</v>
      </c>
      <c r="D69">
        <v>99400</v>
      </c>
      <c r="E69" s="2">
        <v>46173</v>
      </c>
      <c r="F69" s="4">
        <v>7.6099537037037035E-2</v>
      </c>
    </row>
    <row r="70" spans="1:6" x14ac:dyDescent="0.25">
      <c r="A70" s="1">
        <v>1</v>
      </c>
      <c r="B70" s="1">
        <v>69</v>
      </c>
      <c r="C70" s="1">
        <v>26</v>
      </c>
      <c r="D70">
        <v>578999</v>
      </c>
      <c r="E70" s="2">
        <v>46173</v>
      </c>
      <c r="F70" s="4">
        <v>7.6099537037037035E-2</v>
      </c>
    </row>
    <row r="71" spans="1:6" x14ac:dyDescent="0.25">
      <c r="A71" s="1">
        <v>1</v>
      </c>
      <c r="B71" s="1">
        <v>70</v>
      </c>
      <c r="C71" s="1">
        <v>101</v>
      </c>
      <c r="D71">
        <v>13600</v>
      </c>
      <c r="E71" s="2">
        <v>46173</v>
      </c>
      <c r="F71" s="4">
        <v>7.6099537037037035E-2</v>
      </c>
    </row>
    <row r="72" spans="1:6" x14ac:dyDescent="0.25">
      <c r="A72" s="1">
        <v>1</v>
      </c>
      <c r="B72" s="1">
        <v>71</v>
      </c>
      <c r="C72" s="1">
        <v>102</v>
      </c>
      <c r="D72">
        <v>19000</v>
      </c>
      <c r="E72" s="2">
        <v>46173</v>
      </c>
      <c r="F72" s="4">
        <v>7.6099537037037035E-2</v>
      </c>
    </row>
    <row r="73" spans="1:6" x14ac:dyDescent="0.25">
      <c r="A73" s="1">
        <v>1</v>
      </c>
      <c r="B73" s="1">
        <v>72</v>
      </c>
      <c r="C73" s="1">
        <v>103</v>
      </c>
      <c r="D73">
        <v>86030</v>
      </c>
      <c r="E73" s="2">
        <v>46173</v>
      </c>
      <c r="F73" s="4">
        <v>7.6099537037037035E-2</v>
      </c>
    </row>
    <row r="74" spans="1:6" x14ac:dyDescent="0.25">
      <c r="A74" s="1">
        <v>1</v>
      </c>
      <c r="B74" s="1">
        <v>73</v>
      </c>
      <c r="C74">
        <v>1</v>
      </c>
      <c r="D74">
        <v>14600</v>
      </c>
      <c r="E74" s="20" t="s">
        <v>159</v>
      </c>
      <c r="F74" s="20" t="s">
        <v>160</v>
      </c>
    </row>
    <row r="75" spans="1:6" x14ac:dyDescent="0.25">
      <c r="A75" s="1">
        <v>1</v>
      </c>
      <c r="B75" s="1">
        <v>74</v>
      </c>
      <c r="C75">
        <v>2</v>
      </c>
      <c r="D75">
        <v>8400</v>
      </c>
      <c r="E75" s="20" t="s">
        <v>159</v>
      </c>
      <c r="F75" s="20" t="s">
        <v>160</v>
      </c>
    </row>
    <row r="76" spans="1:6" x14ac:dyDescent="0.25">
      <c r="A76" s="1">
        <v>1</v>
      </c>
      <c r="B76" s="1">
        <v>75</v>
      </c>
      <c r="C76">
        <v>3</v>
      </c>
      <c r="D76">
        <v>82500</v>
      </c>
      <c r="E76" s="20" t="s">
        <v>159</v>
      </c>
      <c r="F76" s="20" t="s">
        <v>160</v>
      </c>
    </row>
    <row r="77" spans="1:6" x14ac:dyDescent="0.25">
      <c r="A77" s="1">
        <v>1</v>
      </c>
      <c r="B77" s="1">
        <v>76</v>
      </c>
      <c r="C77">
        <v>9</v>
      </c>
      <c r="D77">
        <v>11600</v>
      </c>
      <c r="E77" s="20" t="s">
        <v>159</v>
      </c>
      <c r="F77" s="20" t="s">
        <v>160</v>
      </c>
    </row>
    <row r="78" spans="1:6" x14ac:dyDescent="0.25">
      <c r="A78" s="1">
        <v>1</v>
      </c>
      <c r="B78" s="1">
        <v>77</v>
      </c>
      <c r="C78">
        <v>10</v>
      </c>
      <c r="D78">
        <v>589000</v>
      </c>
      <c r="E78" s="20" t="s">
        <v>159</v>
      </c>
      <c r="F78" s="20" t="s">
        <v>160</v>
      </c>
    </row>
    <row r="79" spans="1:6" x14ac:dyDescent="0.25">
      <c r="A79" s="1">
        <v>1</v>
      </c>
      <c r="B79" s="1">
        <v>78</v>
      </c>
      <c r="C79">
        <v>11</v>
      </c>
      <c r="D79">
        <v>807692</v>
      </c>
      <c r="E79" s="20" t="s">
        <v>159</v>
      </c>
      <c r="F79" s="20" t="s">
        <v>160</v>
      </c>
    </row>
    <row r="80" spans="1:6" x14ac:dyDescent="0.25">
      <c r="A80" s="1">
        <v>1</v>
      </c>
      <c r="B80" s="1">
        <v>79</v>
      </c>
      <c r="C80">
        <v>12</v>
      </c>
      <c r="D80">
        <v>18800</v>
      </c>
      <c r="E80" s="20" t="s">
        <v>159</v>
      </c>
      <c r="F80" s="20" t="s">
        <v>160</v>
      </c>
    </row>
    <row r="81" spans="1:6" x14ac:dyDescent="0.25">
      <c r="A81" s="1">
        <v>1</v>
      </c>
      <c r="B81" s="1">
        <v>80</v>
      </c>
      <c r="C81">
        <v>13</v>
      </c>
      <c r="D81">
        <v>44800</v>
      </c>
      <c r="E81" s="20" t="s">
        <v>159</v>
      </c>
      <c r="F81" s="20" t="s">
        <v>160</v>
      </c>
    </row>
    <row r="82" spans="1:6" x14ac:dyDescent="0.25">
      <c r="A82" s="1">
        <v>1</v>
      </c>
      <c r="B82" s="1">
        <v>81</v>
      </c>
      <c r="C82">
        <v>14</v>
      </c>
      <c r="D82">
        <v>750000</v>
      </c>
      <c r="E82" s="20" t="s">
        <v>159</v>
      </c>
      <c r="F82" s="20" t="s">
        <v>160</v>
      </c>
    </row>
    <row r="83" spans="1:6" x14ac:dyDescent="0.25">
      <c r="A83" s="1">
        <v>1</v>
      </c>
      <c r="B83" s="1">
        <v>82</v>
      </c>
      <c r="C83">
        <v>15</v>
      </c>
      <c r="D83">
        <v>9000</v>
      </c>
      <c r="E83" s="20" t="s">
        <v>159</v>
      </c>
      <c r="F83" s="20" t="s">
        <v>160</v>
      </c>
    </row>
    <row r="84" spans="1:6" x14ac:dyDescent="0.25">
      <c r="A84" s="1">
        <v>1</v>
      </c>
      <c r="B84" s="1">
        <v>83</v>
      </c>
      <c r="C84">
        <v>16</v>
      </c>
      <c r="D84">
        <v>138500</v>
      </c>
      <c r="E84" s="20" t="s">
        <v>159</v>
      </c>
      <c r="F84" s="20" t="s">
        <v>160</v>
      </c>
    </row>
    <row r="85" spans="1:6" x14ac:dyDescent="0.25">
      <c r="A85" s="1">
        <v>1</v>
      </c>
      <c r="B85" s="1">
        <v>84</v>
      </c>
      <c r="C85">
        <v>17</v>
      </c>
      <c r="D85">
        <v>872625</v>
      </c>
      <c r="E85" s="20" t="s">
        <v>159</v>
      </c>
      <c r="F85" s="20" t="s">
        <v>160</v>
      </c>
    </row>
    <row r="86" spans="1:6" x14ac:dyDescent="0.25">
      <c r="A86" s="1">
        <v>1</v>
      </c>
      <c r="B86" s="1">
        <v>85</v>
      </c>
      <c r="C86">
        <v>18</v>
      </c>
      <c r="D86">
        <v>11600</v>
      </c>
      <c r="E86" s="20" t="s">
        <v>159</v>
      </c>
      <c r="F86" s="20" t="s">
        <v>160</v>
      </c>
    </row>
    <row r="87" spans="1:6" x14ac:dyDescent="0.25">
      <c r="A87" s="1">
        <v>1</v>
      </c>
      <c r="B87" s="1">
        <v>86</v>
      </c>
      <c r="C87">
        <v>19</v>
      </c>
      <c r="D87">
        <v>448999</v>
      </c>
      <c r="E87" s="20" t="s">
        <v>159</v>
      </c>
      <c r="F87" s="20" t="s">
        <v>160</v>
      </c>
    </row>
    <row r="88" spans="1:6" x14ac:dyDescent="0.25">
      <c r="A88" s="1">
        <v>1</v>
      </c>
      <c r="B88" s="1">
        <v>87</v>
      </c>
      <c r="C88">
        <v>20</v>
      </c>
      <c r="D88">
        <v>750000</v>
      </c>
      <c r="E88" s="20" t="s">
        <v>159</v>
      </c>
      <c r="F88" s="20" t="s">
        <v>160</v>
      </c>
    </row>
    <row r="89" spans="1:6" x14ac:dyDescent="0.25">
      <c r="A89" s="1">
        <v>1</v>
      </c>
      <c r="B89" s="1">
        <v>88</v>
      </c>
      <c r="C89">
        <v>21</v>
      </c>
      <c r="D89">
        <v>9100</v>
      </c>
      <c r="E89" s="20" t="s">
        <v>159</v>
      </c>
      <c r="F89" s="20" t="s">
        <v>160</v>
      </c>
    </row>
    <row r="90" spans="1:6" x14ac:dyDescent="0.25">
      <c r="A90" s="1">
        <v>1</v>
      </c>
      <c r="B90" s="1">
        <v>89</v>
      </c>
      <c r="C90">
        <v>22</v>
      </c>
      <c r="D90">
        <v>290000</v>
      </c>
      <c r="E90" s="20" t="s">
        <v>159</v>
      </c>
      <c r="F90" s="20" t="s">
        <v>160</v>
      </c>
    </row>
    <row r="91" spans="1:6" x14ac:dyDescent="0.25">
      <c r="A91" s="1">
        <v>1</v>
      </c>
      <c r="B91" s="1">
        <v>90</v>
      </c>
      <c r="C91">
        <v>23</v>
      </c>
      <c r="D91">
        <v>828000</v>
      </c>
      <c r="E91" s="20" t="s">
        <v>159</v>
      </c>
      <c r="F91" s="20" t="s">
        <v>160</v>
      </c>
    </row>
    <row r="92" spans="1:6" x14ac:dyDescent="0.25">
      <c r="A92" s="1">
        <v>1</v>
      </c>
      <c r="B92" s="1">
        <v>91</v>
      </c>
      <c r="C92">
        <v>24</v>
      </c>
      <c r="D92">
        <v>2500</v>
      </c>
      <c r="E92" s="20" t="s">
        <v>159</v>
      </c>
      <c r="F92" s="20" t="s">
        <v>160</v>
      </c>
    </row>
    <row r="93" spans="1:6" x14ac:dyDescent="0.25">
      <c r="A93" s="1">
        <v>1</v>
      </c>
      <c r="B93" s="1">
        <v>92</v>
      </c>
      <c r="C93">
        <v>25</v>
      </c>
      <c r="D93">
        <v>97000</v>
      </c>
      <c r="E93" s="20" t="s">
        <v>159</v>
      </c>
      <c r="F93" s="20" t="s">
        <v>160</v>
      </c>
    </row>
    <row r="94" spans="1:6" x14ac:dyDescent="0.25">
      <c r="A94" s="1">
        <v>1</v>
      </c>
      <c r="B94" s="1">
        <v>93</v>
      </c>
      <c r="C94">
        <v>26</v>
      </c>
      <c r="D94">
        <v>578999</v>
      </c>
      <c r="E94" s="20" t="s">
        <v>159</v>
      </c>
      <c r="F94" s="20" t="s">
        <v>160</v>
      </c>
    </row>
    <row r="95" spans="1:6" x14ac:dyDescent="0.25">
      <c r="A95" s="1">
        <v>1</v>
      </c>
      <c r="B95" s="1">
        <v>94</v>
      </c>
      <c r="C95">
        <v>101</v>
      </c>
      <c r="D95">
        <v>13600</v>
      </c>
      <c r="E95" s="20" t="s">
        <v>159</v>
      </c>
      <c r="F95" s="20" t="s">
        <v>160</v>
      </c>
    </row>
    <row r="96" spans="1:6" x14ac:dyDescent="0.25">
      <c r="A96" s="1">
        <v>1</v>
      </c>
      <c r="B96" s="1">
        <v>95</v>
      </c>
      <c r="C96">
        <v>102</v>
      </c>
      <c r="D96">
        <v>19000</v>
      </c>
      <c r="E96" s="20" t="s">
        <v>159</v>
      </c>
      <c r="F96" s="20" t="s">
        <v>160</v>
      </c>
    </row>
    <row r="97" spans="1:6" x14ac:dyDescent="0.25">
      <c r="A97" s="1">
        <v>1</v>
      </c>
      <c r="B97" s="1">
        <v>96</v>
      </c>
      <c r="C97">
        <v>103</v>
      </c>
      <c r="D97">
        <v>86030</v>
      </c>
      <c r="E97" s="20" t="s">
        <v>159</v>
      </c>
      <c r="F97" s="20" t="s">
        <v>160</v>
      </c>
    </row>
    <row r="98" spans="1:6" x14ac:dyDescent="0.25">
      <c r="A98" s="1">
        <v>1</v>
      </c>
      <c r="B98" s="1">
        <v>97</v>
      </c>
      <c r="C98" s="1">
        <v>1</v>
      </c>
      <c r="D98">
        <v>13000</v>
      </c>
      <c r="E98" s="2">
        <v>46173</v>
      </c>
      <c r="F98" s="4">
        <v>0.86100694444444448</v>
      </c>
    </row>
    <row r="99" spans="1:6" x14ac:dyDescent="0.25">
      <c r="A99" s="1">
        <v>1</v>
      </c>
      <c r="B99" s="1">
        <v>98</v>
      </c>
      <c r="C99" s="1">
        <v>2</v>
      </c>
      <c r="D99">
        <v>8400</v>
      </c>
      <c r="E99" s="2">
        <v>46173</v>
      </c>
      <c r="F99" s="4">
        <v>0.86100694444444448</v>
      </c>
    </row>
    <row r="100" spans="1:6" x14ac:dyDescent="0.25">
      <c r="A100" s="1">
        <v>1</v>
      </c>
      <c r="B100" s="1">
        <v>99</v>
      </c>
      <c r="C100" s="1">
        <v>3</v>
      </c>
      <c r="D100">
        <v>100000</v>
      </c>
      <c r="E100" s="2">
        <v>46173</v>
      </c>
      <c r="F100" s="4">
        <v>0.86100694444444448</v>
      </c>
    </row>
    <row r="101" spans="1:6" x14ac:dyDescent="0.25">
      <c r="A101" s="1">
        <v>1</v>
      </c>
      <c r="B101" s="1">
        <v>100</v>
      </c>
      <c r="C101" s="1">
        <v>9</v>
      </c>
      <c r="D101">
        <v>9900</v>
      </c>
      <c r="E101" s="2">
        <v>46173</v>
      </c>
      <c r="F101" s="4">
        <v>0.86100694444444448</v>
      </c>
    </row>
    <row r="102" spans="1:6" x14ac:dyDescent="0.25">
      <c r="A102" s="1">
        <v>1</v>
      </c>
      <c r="B102" s="1">
        <v>101</v>
      </c>
      <c r="C102" s="1">
        <v>10</v>
      </c>
      <c r="D102">
        <v>898000</v>
      </c>
      <c r="E102" s="2">
        <v>46173</v>
      </c>
      <c r="F102" s="4">
        <v>0.86100694444444448</v>
      </c>
    </row>
    <row r="103" spans="1:6" x14ac:dyDescent="0.25">
      <c r="A103" s="1">
        <v>1</v>
      </c>
      <c r="B103" s="1">
        <v>102</v>
      </c>
      <c r="C103" s="1">
        <v>11</v>
      </c>
      <c r="D103">
        <v>807692</v>
      </c>
      <c r="E103" s="2">
        <v>46173</v>
      </c>
      <c r="F103" s="4">
        <v>0.86100694444444448</v>
      </c>
    </row>
    <row r="104" spans="1:6" x14ac:dyDescent="0.25">
      <c r="A104" s="1">
        <v>1</v>
      </c>
      <c r="B104" s="1">
        <v>103</v>
      </c>
      <c r="C104" s="1">
        <v>12</v>
      </c>
      <c r="D104">
        <v>18599</v>
      </c>
      <c r="E104" s="2">
        <v>46173</v>
      </c>
      <c r="F104" s="4">
        <v>0.86100694444444448</v>
      </c>
    </row>
    <row r="105" spans="1:6" x14ac:dyDescent="0.25">
      <c r="A105" s="1">
        <v>1</v>
      </c>
      <c r="B105" s="1">
        <v>104</v>
      </c>
      <c r="C105" s="1">
        <v>13</v>
      </c>
      <c r="D105">
        <v>44800</v>
      </c>
      <c r="E105" s="2">
        <v>46173</v>
      </c>
      <c r="F105" s="4">
        <v>0.86100694444444448</v>
      </c>
    </row>
    <row r="106" spans="1:6" x14ac:dyDescent="0.25">
      <c r="A106" s="1">
        <v>1</v>
      </c>
      <c r="B106" s="1">
        <v>105</v>
      </c>
      <c r="C106" s="1">
        <v>14</v>
      </c>
      <c r="D106">
        <v>750000</v>
      </c>
      <c r="E106" s="2">
        <v>46173</v>
      </c>
      <c r="F106" s="4">
        <v>0.86100694444444448</v>
      </c>
    </row>
    <row r="107" spans="1:6" x14ac:dyDescent="0.25">
      <c r="A107" s="1">
        <v>1</v>
      </c>
      <c r="B107" s="1">
        <v>106</v>
      </c>
      <c r="C107" s="1">
        <v>15</v>
      </c>
      <c r="D107">
        <v>9000</v>
      </c>
      <c r="E107" s="2">
        <v>46173</v>
      </c>
      <c r="F107" s="4">
        <v>0.86100694444444448</v>
      </c>
    </row>
    <row r="108" spans="1:6" x14ac:dyDescent="0.25">
      <c r="A108" s="1">
        <v>1</v>
      </c>
      <c r="B108" s="1">
        <v>107</v>
      </c>
      <c r="C108" s="1">
        <v>16</v>
      </c>
      <c r="D108">
        <v>138500</v>
      </c>
      <c r="E108" s="2">
        <v>46173</v>
      </c>
      <c r="F108" s="4">
        <v>0.86100694444444448</v>
      </c>
    </row>
    <row r="109" spans="1:6" x14ac:dyDescent="0.25">
      <c r="A109" s="1">
        <v>1</v>
      </c>
      <c r="B109" s="1">
        <v>108</v>
      </c>
      <c r="C109" s="1">
        <v>17</v>
      </c>
      <c r="D109">
        <v>872625</v>
      </c>
      <c r="E109" s="2">
        <v>46173</v>
      </c>
      <c r="F109" s="4">
        <v>0.86100694444444448</v>
      </c>
    </row>
    <row r="110" spans="1:6" x14ac:dyDescent="0.25">
      <c r="A110" s="1">
        <v>1</v>
      </c>
      <c r="B110" s="1">
        <v>109</v>
      </c>
      <c r="C110" s="1">
        <v>18</v>
      </c>
      <c r="D110">
        <v>9600</v>
      </c>
      <c r="E110" s="2">
        <v>46173</v>
      </c>
      <c r="F110" s="4">
        <v>0.86100694444444448</v>
      </c>
    </row>
    <row r="111" spans="1:6" x14ac:dyDescent="0.25">
      <c r="A111" s="1">
        <v>1</v>
      </c>
      <c r="B111" s="1">
        <v>110</v>
      </c>
      <c r="C111" s="1">
        <v>19</v>
      </c>
      <c r="D111">
        <v>82000</v>
      </c>
      <c r="E111" s="2">
        <v>46173</v>
      </c>
      <c r="F111" s="4">
        <v>0.86100694444444448</v>
      </c>
    </row>
    <row r="112" spans="1:6" x14ac:dyDescent="0.25">
      <c r="A112" s="1">
        <v>1</v>
      </c>
      <c r="B112" s="1">
        <v>111</v>
      </c>
      <c r="C112" s="1">
        <v>20</v>
      </c>
      <c r="D112">
        <v>750000</v>
      </c>
      <c r="E112" s="2">
        <v>46173</v>
      </c>
      <c r="F112" s="4">
        <v>0.86100694444444448</v>
      </c>
    </row>
    <row r="113" spans="1:6" x14ac:dyDescent="0.25">
      <c r="A113" s="1">
        <v>1</v>
      </c>
      <c r="B113" s="1">
        <v>112</v>
      </c>
      <c r="C113" s="1">
        <v>21</v>
      </c>
      <c r="D113">
        <v>8900</v>
      </c>
      <c r="E113" s="2">
        <v>46173</v>
      </c>
      <c r="F113" s="4">
        <v>0.86100694444444448</v>
      </c>
    </row>
    <row r="114" spans="1:6" x14ac:dyDescent="0.25">
      <c r="A114" s="1">
        <v>1</v>
      </c>
      <c r="B114" s="1">
        <v>113</v>
      </c>
      <c r="C114" s="1">
        <v>22</v>
      </c>
      <c r="D114">
        <v>290000</v>
      </c>
      <c r="E114" s="2">
        <v>46173</v>
      </c>
      <c r="F114" s="4">
        <v>0.86100694444444448</v>
      </c>
    </row>
    <row r="115" spans="1:6" x14ac:dyDescent="0.25">
      <c r="A115" s="1">
        <v>1</v>
      </c>
      <c r="B115" s="1">
        <v>114</v>
      </c>
      <c r="C115" s="1">
        <v>23</v>
      </c>
      <c r="D115">
        <v>828000</v>
      </c>
      <c r="E115" s="2">
        <v>46173</v>
      </c>
      <c r="F115" s="4">
        <v>0.86100694444444448</v>
      </c>
    </row>
    <row r="116" spans="1:6" x14ac:dyDescent="0.25">
      <c r="A116" s="1">
        <v>1</v>
      </c>
      <c r="B116" s="1">
        <v>115</v>
      </c>
      <c r="C116" s="1">
        <v>24</v>
      </c>
      <c r="D116">
        <v>2600</v>
      </c>
      <c r="E116" s="2">
        <v>46173</v>
      </c>
      <c r="F116" s="4">
        <v>0.86100694444444448</v>
      </c>
    </row>
    <row r="117" spans="1:6" x14ac:dyDescent="0.25">
      <c r="A117" s="1">
        <v>1</v>
      </c>
      <c r="B117" s="1">
        <v>116</v>
      </c>
      <c r="C117" s="1">
        <v>25</v>
      </c>
      <c r="D117">
        <v>98499</v>
      </c>
      <c r="E117" s="2">
        <v>46173</v>
      </c>
      <c r="F117" s="4">
        <v>0.86100694444444448</v>
      </c>
    </row>
    <row r="118" spans="1:6" x14ac:dyDescent="0.25">
      <c r="A118" s="1">
        <v>1</v>
      </c>
      <c r="B118" s="1">
        <v>117</v>
      </c>
      <c r="C118" s="1">
        <v>26</v>
      </c>
      <c r="D118">
        <v>578999</v>
      </c>
      <c r="E118" s="2">
        <v>46173</v>
      </c>
      <c r="F118" s="4">
        <v>0.86100694444444448</v>
      </c>
    </row>
    <row r="119" spans="1:6" x14ac:dyDescent="0.25">
      <c r="A119" s="1">
        <v>1</v>
      </c>
      <c r="B119" s="1">
        <v>118</v>
      </c>
      <c r="C119" s="1">
        <v>101</v>
      </c>
      <c r="D119">
        <v>13600</v>
      </c>
      <c r="E119" s="2">
        <v>46173</v>
      </c>
      <c r="F119" s="4">
        <v>0.86100694444444448</v>
      </c>
    </row>
    <row r="120" spans="1:6" x14ac:dyDescent="0.25">
      <c r="A120" s="1">
        <v>1</v>
      </c>
      <c r="B120" s="1">
        <v>119</v>
      </c>
      <c r="C120" s="1">
        <v>102</v>
      </c>
      <c r="D120">
        <v>19000</v>
      </c>
      <c r="E120" s="2">
        <v>46173</v>
      </c>
      <c r="F120" s="4">
        <v>0.86100694444444448</v>
      </c>
    </row>
    <row r="121" spans="1:6" x14ac:dyDescent="0.25">
      <c r="A121" s="1">
        <v>1</v>
      </c>
      <c r="B121" s="1">
        <v>120</v>
      </c>
      <c r="C121" s="1">
        <v>103</v>
      </c>
      <c r="D121">
        <v>86030</v>
      </c>
      <c r="E121" s="2">
        <v>46173</v>
      </c>
      <c r="F121" s="4">
        <v>0.86100694444444448</v>
      </c>
    </row>
    <row r="122" spans="1:6" x14ac:dyDescent="0.25">
      <c r="A122" s="1">
        <v>1</v>
      </c>
      <c r="B122" s="1">
        <v>121</v>
      </c>
      <c r="C122" s="1">
        <v>1</v>
      </c>
      <c r="D122" s="20">
        <v>11800</v>
      </c>
      <c r="E122" s="20" t="s">
        <v>161</v>
      </c>
      <c r="F122" s="20" t="s">
        <v>162</v>
      </c>
    </row>
    <row r="123" spans="1:6" x14ac:dyDescent="0.25">
      <c r="A123" s="1">
        <v>1</v>
      </c>
      <c r="B123" s="1">
        <v>122</v>
      </c>
      <c r="C123" s="1">
        <v>2</v>
      </c>
      <c r="D123" s="20">
        <v>8100</v>
      </c>
      <c r="E123" s="20" t="s">
        <v>161</v>
      </c>
      <c r="F123" s="20" t="s">
        <v>162</v>
      </c>
    </row>
    <row r="124" spans="1:6" x14ac:dyDescent="0.25">
      <c r="A124" s="1">
        <v>1</v>
      </c>
      <c r="B124" s="1">
        <v>123</v>
      </c>
      <c r="C124" s="1">
        <v>3</v>
      </c>
      <c r="D124" s="20">
        <v>78999</v>
      </c>
      <c r="E124" s="20" t="s">
        <v>161</v>
      </c>
      <c r="F124" s="20" t="s">
        <v>162</v>
      </c>
    </row>
    <row r="125" spans="1:6" x14ac:dyDescent="0.25">
      <c r="A125" s="1">
        <v>1</v>
      </c>
      <c r="B125" s="1">
        <v>124</v>
      </c>
      <c r="C125" s="1">
        <v>9</v>
      </c>
      <c r="D125" s="20">
        <v>7900</v>
      </c>
      <c r="E125" s="20" t="s">
        <v>161</v>
      </c>
      <c r="F125" s="20" t="s">
        <v>162</v>
      </c>
    </row>
    <row r="126" spans="1:6" x14ac:dyDescent="0.25">
      <c r="A126" s="1">
        <v>1</v>
      </c>
      <c r="B126" s="1">
        <v>125</v>
      </c>
      <c r="C126" s="1">
        <v>10</v>
      </c>
      <c r="D126" s="20">
        <v>569000</v>
      </c>
      <c r="E126" s="20" t="s">
        <v>161</v>
      </c>
      <c r="F126" s="20" t="s">
        <v>162</v>
      </c>
    </row>
    <row r="127" spans="1:6" x14ac:dyDescent="0.25">
      <c r="A127" s="1">
        <v>1</v>
      </c>
      <c r="B127" s="1">
        <v>126</v>
      </c>
      <c r="C127" s="1">
        <v>11</v>
      </c>
      <c r="D127" s="20">
        <v>807692</v>
      </c>
      <c r="E127" s="20" t="s">
        <v>161</v>
      </c>
      <c r="F127" s="20" t="s">
        <v>162</v>
      </c>
    </row>
    <row r="128" spans="1:6" x14ac:dyDescent="0.25">
      <c r="A128" s="1">
        <v>1</v>
      </c>
      <c r="B128" s="1">
        <v>127</v>
      </c>
      <c r="C128" s="1">
        <v>12</v>
      </c>
      <c r="D128" s="20">
        <v>13000</v>
      </c>
      <c r="E128" s="20" t="s">
        <v>161</v>
      </c>
      <c r="F128" s="20" t="s">
        <v>162</v>
      </c>
    </row>
    <row r="129" spans="1:6" x14ac:dyDescent="0.25">
      <c r="A129" s="1">
        <v>1</v>
      </c>
      <c r="B129" s="1">
        <v>128</v>
      </c>
      <c r="C129" s="1">
        <v>13</v>
      </c>
      <c r="D129" s="20">
        <v>44800</v>
      </c>
      <c r="E129" s="20" t="s">
        <v>161</v>
      </c>
      <c r="F129" s="20" t="s">
        <v>162</v>
      </c>
    </row>
    <row r="130" spans="1:6" x14ac:dyDescent="0.25">
      <c r="A130" s="1">
        <v>1</v>
      </c>
      <c r="B130" s="1">
        <v>129</v>
      </c>
      <c r="C130" s="1">
        <v>14</v>
      </c>
      <c r="D130" s="20">
        <v>750000</v>
      </c>
      <c r="E130" s="20" t="s">
        <v>161</v>
      </c>
      <c r="F130" s="20" t="s">
        <v>162</v>
      </c>
    </row>
    <row r="131" spans="1:6" x14ac:dyDescent="0.25">
      <c r="A131" s="1">
        <v>1</v>
      </c>
      <c r="B131" s="1">
        <v>130</v>
      </c>
      <c r="C131" s="1">
        <v>15</v>
      </c>
      <c r="D131" s="20">
        <v>9000</v>
      </c>
      <c r="E131" s="20" t="s">
        <v>161</v>
      </c>
      <c r="F131" s="20" t="s">
        <v>162</v>
      </c>
    </row>
    <row r="132" spans="1:6" x14ac:dyDescent="0.25">
      <c r="A132" s="1">
        <v>1</v>
      </c>
      <c r="B132" s="1">
        <v>131</v>
      </c>
      <c r="C132" s="1">
        <v>16</v>
      </c>
      <c r="D132" s="20">
        <v>138500</v>
      </c>
      <c r="E132" s="20" t="s">
        <v>161</v>
      </c>
      <c r="F132" s="20" t="s">
        <v>162</v>
      </c>
    </row>
    <row r="133" spans="1:6" x14ac:dyDescent="0.25">
      <c r="A133" s="1">
        <v>1</v>
      </c>
      <c r="B133" s="1">
        <v>132</v>
      </c>
      <c r="C133" s="1">
        <v>17</v>
      </c>
      <c r="D133" s="20">
        <v>872625</v>
      </c>
      <c r="E133" s="20" t="s">
        <v>161</v>
      </c>
      <c r="F133" s="20" t="s">
        <v>162</v>
      </c>
    </row>
    <row r="134" spans="1:6" x14ac:dyDescent="0.25">
      <c r="A134" s="1">
        <v>1</v>
      </c>
      <c r="B134" s="1">
        <v>133</v>
      </c>
      <c r="C134" s="1">
        <v>18</v>
      </c>
      <c r="D134" s="20">
        <v>4800</v>
      </c>
      <c r="E134" s="20" t="s">
        <v>161</v>
      </c>
      <c r="F134" s="20" t="s">
        <v>162</v>
      </c>
    </row>
    <row r="135" spans="1:6" x14ac:dyDescent="0.25">
      <c r="A135" s="1">
        <v>1</v>
      </c>
      <c r="B135" s="1">
        <v>134</v>
      </c>
      <c r="C135" s="1">
        <v>19</v>
      </c>
      <c r="D135" s="20">
        <v>446000</v>
      </c>
      <c r="E135" s="20" t="s">
        <v>161</v>
      </c>
      <c r="F135" s="20" t="s">
        <v>162</v>
      </c>
    </row>
    <row r="136" spans="1:6" x14ac:dyDescent="0.25">
      <c r="A136" s="1">
        <v>1</v>
      </c>
      <c r="B136" s="1">
        <v>135</v>
      </c>
      <c r="C136" s="1">
        <v>20</v>
      </c>
      <c r="D136" s="20">
        <v>750000</v>
      </c>
      <c r="E136" s="20" t="s">
        <v>161</v>
      </c>
      <c r="F136" s="20" t="s">
        <v>162</v>
      </c>
    </row>
    <row r="137" spans="1:6" x14ac:dyDescent="0.25">
      <c r="A137" s="1">
        <v>1</v>
      </c>
      <c r="B137" s="1">
        <v>136</v>
      </c>
      <c r="C137" s="1">
        <v>21</v>
      </c>
      <c r="D137" s="20">
        <v>3666</v>
      </c>
      <c r="E137" s="20" t="s">
        <v>161</v>
      </c>
      <c r="F137" s="20" t="s">
        <v>162</v>
      </c>
    </row>
    <row r="138" spans="1:6" x14ac:dyDescent="0.25">
      <c r="A138" s="1">
        <v>1</v>
      </c>
      <c r="B138" s="1">
        <v>137</v>
      </c>
      <c r="C138" s="1">
        <v>22</v>
      </c>
      <c r="D138" s="20">
        <v>383000</v>
      </c>
      <c r="E138" s="20" t="s">
        <v>161</v>
      </c>
      <c r="F138" s="20" t="s">
        <v>162</v>
      </c>
    </row>
    <row r="139" spans="1:6" x14ac:dyDescent="0.25">
      <c r="A139" s="1">
        <v>1</v>
      </c>
      <c r="B139" s="1">
        <v>138</v>
      </c>
      <c r="C139" s="1">
        <v>23</v>
      </c>
      <c r="D139" s="20">
        <v>828000</v>
      </c>
      <c r="E139" s="20" t="s">
        <v>161</v>
      </c>
      <c r="F139" s="20" t="s">
        <v>162</v>
      </c>
    </row>
    <row r="140" spans="1:6" x14ac:dyDescent="0.25">
      <c r="A140" s="1">
        <v>1</v>
      </c>
      <c r="B140" s="1">
        <v>139</v>
      </c>
      <c r="C140" s="1">
        <v>24</v>
      </c>
      <c r="D140" s="20">
        <v>2500</v>
      </c>
      <c r="E140" s="20" t="s">
        <v>161</v>
      </c>
      <c r="F140" s="20" t="s">
        <v>162</v>
      </c>
    </row>
    <row r="141" spans="1:6" x14ac:dyDescent="0.25">
      <c r="A141" s="1">
        <v>1</v>
      </c>
      <c r="B141" s="1">
        <v>140</v>
      </c>
      <c r="C141" s="1">
        <v>25</v>
      </c>
      <c r="D141" s="20">
        <v>97000</v>
      </c>
      <c r="E141" s="20" t="s">
        <v>161</v>
      </c>
      <c r="F141" s="20" t="s">
        <v>162</v>
      </c>
    </row>
    <row r="142" spans="1:6" x14ac:dyDescent="0.25">
      <c r="A142" s="1">
        <v>1</v>
      </c>
      <c r="B142" s="1">
        <v>141</v>
      </c>
      <c r="C142" s="1">
        <v>26</v>
      </c>
      <c r="D142" s="20">
        <v>578999</v>
      </c>
      <c r="E142" s="20" t="s">
        <v>161</v>
      </c>
      <c r="F142" s="20" t="s">
        <v>162</v>
      </c>
    </row>
    <row r="143" spans="1:6" x14ac:dyDescent="0.25">
      <c r="A143" s="1">
        <v>1</v>
      </c>
      <c r="B143" s="1">
        <v>142</v>
      </c>
      <c r="C143" s="1">
        <v>101</v>
      </c>
      <c r="D143" s="20">
        <v>13600</v>
      </c>
      <c r="E143" s="20" t="s">
        <v>161</v>
      </c>
      <c r="F143" s="20" t="s">
        <v>162</v>
      </c>
    </row>
    <row r="144" spans="1:6" x14ac:dyDescent="0.25">
      <c r="A144" s="1">
        <v>1</v>
      </c>
      <c r="B144" s="1">
        <v>143</v>
      </c>
      <c r="C144" s="1">
        <v>102</v>
      </c>
      <c r="D144" s="20">
        <v>19000</v>
      </c>
      <c r="E144" s="20" t="s">
        <v>161</v>
      </c>
      <c r="F144" s="20" t="s">
        <v>162</v>
      </c>
    </row>
    <row r="145" spans="1:6" x14ac:dyDescent="0.25">
      <c r="A145" s="1">
        <v>1</v>
      </c>
      <c r="B145" s="1">
        <v>144</v>
      </c>
      <c r="C145" s="1">
        <v>103</v>
      </c>
      <c r="D145" s="20">
        <v>86030</v>
      </c>
      <c r="E145" s="20" t="s">
        <v>161</v>
      </c>
      <c r="F145" s="20" t="s">
        <v>162</v>
      </c>
    </row>
    <row r="146" spans="1:6" x14ac:dyDescent="0.25">
      <c r="A146" s="1">
        <v>1</v>
      </c>
      <c r="B146" s="1">
        <v>145</v>
      </c>
      <c r="C146">
        <v>1</v>
      </c>
      <c r="D146">
        <v>11000</v>
      </c>
      <c r="E146" t="s">
        <v>161</v>
      </c>
      <c r="F146" t="s">
        <v>163</v>
      </c>
    </row>
    <row r="147" spans="1:6" x14ac:dyDescent="0.25">
      <c r="A147" s="1">
        <v>1</v>
      </c>
      <c r="B147" s="1">
        <v>146</v>
      </c>
      <c r="C147">
        <v>2</v>
      </c>
      <c r="D147">
        <v>7900</v>
      </c>
      <c r="E147" t="s">
        <v>161</v>
      </c>
      <c r="F147" t="s">
        <v>163</v>
      </c>
    </row>
    <row r="148" spans="1:6" x14ac:dyDescent="0.25">
      <c r="A148" s="1">
        <v>1</v>
      </c>
      <c r="B148" s="1">
        <v>147</v>
      </c>
      <c r="C148">
        <v>3</v>
      </c>
      <c r="D148">
        <v>78000</v>
      </c>
      <c r="E148" t="s">
        <v>161</v>
      </c>
      <c r="F148" t="s">
        <v>163</v>
      </c>
    </row>
    <row r="149" spans="1:6" x14ac:dyDescent="0.25">
      <c r="A149" s="1">
        <v>1</v>
      </c>
      <c r="B149" s="1">
        <v>148</v>
      </c>
      <c r="C149">
        <v>9</v>
      </c>
      <c r="D149">
        <v>7700</v>
      </c>
      <c r="E149" t="s">
        <v>161</v>
      </c>
      <c r="F149" t="s">
        <v>163</v>
      </c>
    </row>
    <row r="150" spans="1:6" x14ac:dyDescent="0.25">
      <c r="A150" s="1">
        <v>1</v>
      </c>
      <c r="B150" s="1">
        <v>149</v>
      </c>
      <c r="C150">
        <v>10</v>
      </c>
      <c r="D150">
        <v>550000</v>
      </c>
      <c r="E150" t="s">
        <v>161</v>
      </c>
      <c r="F150" t="s">
        <v>163</v>
      </c>
    </row>
    <row r="151" spans="1:6" x14ac:dyDescent="0.25">
      <c r="A151" s="1">
        <v>1</v>
      </c>
      <c r="B151" s="1">
        <v>150</v>
      </c>
      <c r="C151">
        <v>11</v>
      </c>
      <c r="D151">
        <v>807692</v>
      </c>
      <c r="E151" t="s">
        <v>161</v>
      </c>
      <c r="F151" t="s">
        <v>163</v>
      </c>
    </row>
    <row r="152" spans="1:6" x14ac:dyDescent="0.25">
      <c r="A152" s="1">
        <v>1</v>
      </c>
      <c r="B152" s="1">
        <v>151</v>
      </c>
      <c r="C152">
        <v>12</v>
      </c>
      <c r="D152">
        <v>18200</v>
      </c>
      <c r="E152" t="s">
        <v>161</v>
      </c>
      <c r="F152" t="s">
        <v>163</v>
      </c>
    </row>
    <row r="153" spans="1:6" x14ac:dyDescent="0.25">
      <c r="A153" s="1">
        <v>1</v>
      </c>
      <c r="B153" s="1">
        <v>152</v>
      </c>
      <c r="C153">
        <v>13</v>
      </c>
      <c r="D153">
        <v>44800</v>
      </c>
      <c r="E153" t="s">
        <v>161</v>
      </c>
      <c r="F153" t="s">
        <v>163</v>
      </c>
    </row>
    <row r="154" spans="1:6" x14ac:dyDescent="0.25">
      <c r="A154" s="1">
        <v>1</v>
      </c>
      <c r="B154" s="1">
        <v>153</v>
      </c>
      <c r="C154">
        <v>14</v>
      </c>
      <c r="D154">
        <v>750000</v>
      </c>
      <c r="E154" t="s">
        <v>161</v>
      </c>
      <c r="F154" t="s">
        <v>163</v>
      </c>
    </row>
    <row r="155" spans="1:6" x14ac:dyDescent="0.25">
      <c r="A155" s="1">
        <v>1</v>
      </c>
      <c r="B155" s="1">
        <v>154</v>
      </c>
      <c r="C155">
        <v>15</v>
      </c>
      <c r="D155">
        <v>9000</v>
      </c>
      <c r="E155" t="s">
        <v>161</v>
      </c>
      <c r="F155" t="s">
        <v>163</v>
      </c>
    </row>
    <row r="156" spans="1:6" x14ac:dyDescent="0.25">
      <c r="A156" s="1">
        <v>1</v>
      </c>
      <c r="B156" s="1">
        <v>155</v>
      </c>
      <c r="C156">
        <v>16</v>
      </c>
      <c r="D156">
        <v>138500</v>
      </c>
      <c r="E156" t="s">
        <v>161</v>
      </c>
      <c r="F156" t="s">
        <v>163</v>
      </c>
    </row>
    <row r="157" spans="1:6" x14ac:dyDescent="0.25">
      <c r="A157" s="1">
        <v>1</v>
      </c>
      <c r="B157" s="1">
        <v>156</v>
      </c>
      <c r="C157">
        <v>17</v>
      </c>
      <c r="D157">
        <v>872625</v>
      </c>
      <c r="E157" t="s">
        <v>161</v>
      </c>
      <c r="F157" t="s">
        <v>163</v>
      </c>
    </row>
    <row r="158" spans="1:6" x14ac:dyDescent="0.25">
      <c r="A158" s="1">
        <v>1</v>
      </c>
      <c r="B158" s="1">
        <v>157</v>
      </c>
      <c r="C158">
        <v>18</v>
      </c>
      <c r="D158">
        <v>4799</v>
      </c>
      <c r="E158" t="s">
        <v>161</v>
      </c>
      <c r="F158" t="s">
        <v>163</v>
      </c>
    </row>
    <row r="159" spans="1:6" x14ac:dyDescent="0.25">
      <c r="A159" s="1">
        <v>1</v>
      </c>
      <c r="B159" s="1">
        <v>158</v>
      </c>
      <c r="C159">
        <v>19</v>
      </c>
      <c r="D159">
        <v>397000</v>
      </c>
      <c r="E159" t="s">
        <v>161</v>
      </c>
      <c r="F159" t="s">
        <v>163</v>
      </c>
    </row>
    <row r="160" spans="1:6" x14ac:dyDescent="0.25">
      <c r="A160" s="1">
        <v>1</v>
      </c>
      <c r="B160" s="1">
        <v>159</v>
      </c>
      <c r="C160">
        <v>20</v>
      </c>
      <c r="D160">
        <v>750000</v>
      </c>
      <c r="E160" t="s">
        <v>161</v>
      </c>
      <c r="F160" t="s">
        <v>163</v>
      </c>
    </row>
    <row r="161" spans="1:6" x14ac:dyDescent="0.25">
      <c r="A161" s="1">
        <v>1</v>
      </c>
      <c r="B161" s="1">
        <v>160</v>
      </c>
      <c r="C161">
        <v>21</v>
      </c>
      <c r="D161">
        <v>7800</v>
      </c>
      <c r="E161" t="s">
        <v>161</v>
      </c>
      <c r="F161" t="s">
        <v>163</v>
      </c>
    </row>
    <row r="162" spans="1:6" x14ac:dyDescent="0.25">
      <c r="A162" s="1">
        <v>1</v>
      </c>
      <c r="B162" s="1">
        <v>161</v>
      </c>
      <c r="C162">
        <v>22</v>
      </c>
      <c r="D162">
        <v>383000</v>
      </c>
      <c r="E162" t="s">
        <v>161</v>
      </c>
      <c r="F162" t="s">
        <v>163</v>
      </c>
    </row>
    <row r="163" spans="1:6" x14ac:dyDescent="0.25">
      <c r="A163" s="1">
        <v>1</v>
      </c>
      <c r="B163" s="1">
        <v>162</v>
      </c>
      <c r="C163">
        <v>23</v>
      </c>
      <c r="D163">
        <v>828000</v>
      </c>
      <c r="E163" t="s">
        <v>161</v>
      </c>
      <c r="F163" t="s">
        <v>163</v>
      </c>
    </row>
    <row r="164" spans="1:6" x14ac:dyDescent="0.25">
      <c r="A164" s="1">
        <v>1</v>
      </c>
      <c r="B164" s="1">
        <v>163</v>
      </c>
      <c r="C164">
        <v>24</v>
      </c>
      <c r="D164">
        <v>2500</v>
      </c>
      <c r="E164" t="s">
        <v>161</v>
      </c>
      <c r="F164" t="s">
        <v>163</v>
      </c>
    </row>
    <row r="165" spans="1:6" x14ac:dyDescent="0.25">
      <c r="A165" s="1">
        <v>1</v>
      </c>
      <c r="B165" s="1">
        <v>164</v>
      </c>
      <c r="C165">
        <v>25</v>
      </c>
      <c r="D165">
        <v>89500</v>
      </c>
      <c r="E165" t="s">
        <v>161</v>
      </c>
      <c r="F165" t="s">
        <v>163</v>
      </c>
    </row>
    <row r="166" spans="1:6" x14ac:dyDescent="0.25">
      <c r="A166" s="1">
        <v>1</v>
      </c>
      <c r="B166" s="1">
        <v>165</v>
      </c>
      <c r="C166">
        <v>26</v>
      </c>
      <c r="D166">
        <v>578999</v>
      </c>
      <c r="E166" t="s">
        <v>161</v>
      </c>
      <c r="F166" t="s">
        <v>163</v>
      </c>
    </row>
    <row r="167" spans="1:6" x14ac:dyDescent="0.25">
      <c r="A167" s="1">
        <v>1</v>
      </c>
      <c r="B167" s="1">
        <v>166</v>
      </c>
      <c r="C167">
        <v>101</v>
      </c>
      <c r="D167">
        <v>13600</v>
      </c>
      <c r="E167" t="s">
        <v>161</v>
      </c>
      <c r="F167" t="s">
        <v>163</v>
      </c>
    </row>
    <row r="168" spans="1:6" x14ac:dyDescent="0.25">
      <c r="A168" s="1">
        <v>1</v>
      </c>
      <c r="B168" s="1">
        <v>167</v>
      </c>
      <c r="C168">
        <v>102</v>
      </c>
      <c r="D168">
        <v>19000</v>
      </c>
      <c r="E168" t="s">
        <v>161</v>
      </c>
      <c r="F168" t="s">
        <v>163</v>
      </c>
    </row>
    <row r="169" spans="1:6" x14ac:dyDescent="0.25">
      <c r="A169" s="1">
        <v>1</v>
      </c>
      <c r="B169" s="1">
        <v>168</v>
      </c>
      <c r="C169">
        <v>103</v>
      </c>
      <c r="D169">
        <v>86030</v>
      </c>
      <c r="E169" t="s">
        <v>161</v>
      </c>
      <c r="F169" t="s">
        <v>163</v>
      </c>
    </row>
    <row r="170" spans="1:6" x14ac:dyDescent="0.25">
      <c r="A170" s="1">
        <v>1</v>
      </c>
      <c r="B170" s="1">
        <v>169</v>
      </c>
      <c r="C170">
        <v>1</v>
      </c>
      <c r="D170">
        <v>11200</v>
      </c>
      <c r="E170" t="s">
        <v>161</v>
      </c>
      <c r="F170" t="s">
        <v>164</v>
      </c>
    </row>
    <row r="171" spans="1:6" x14ac:dyDescent="0.25">
      <c r="A171" s="1">
        <v>1</v>
      </c>
      <c r="B171" s="1">
        <v>170</v>
      </c>
      <c r="C171">
        <v>2</v>
      </c>
      <c r="D171">
        <v>11600</v>
      </c>
      <c r="E171" t="s">
        <v>161</v>
      </c>
      <c r="F171" t="s">
        <v>164</v>
      </c>
    </row>
    <row r="172" spans="1:6" x14ac:dyDescent="0.25">
      <c r="A172" s="1">
        <v>1</v>
      </c>
      <c r="B172" s="1">
        <v>171</v>
      </c>
      <c r="C172">
        <v>3</v>
      </c>
      <c r="D172">
        <v>69000</v>
      </c>
      <c r="E172" t="s">
        <v>161</v>
      </c>
      <c r="F172" t="s">
        <v>164</v>
      </c>
    </row>
    <row r="173" spans="1:6" x14ac:dyDescent="0.25">
      <c r="A173" s="1">
        <v>1</v>
      </c>
      <c r="B173" s="1">
        <v>172</v>
      </c>
      <c r="C173">
        <v>9</v>
      </c>
      <c r="D173">
        <v>10600</v>
      </c>
      <c r="E173" t="s">
        <v>161</v>
      </c>
      <c r="F173" t="s">
        <v>164</v>
      </c>
    </row>
    <row r="174" spans="1:6" x14ac:dyDescent="0.25">
      <c r="A174" s="1">
        <v>1</v>
      </c>
      <c r="B174" s="1">
        <v>173</v>
      </c>
      <c r="C174">
        <v>10</v>
      </c>
      <c r="D174">
        <v>550000</v>
      </c>
      <c r="E174" t="s">
        <v>161</v>
      </c>
      <c r="F174" t="s">
        <v>164</v>
      </c>
    </row>
    <row r="175" spans="1:6" x14ac:dyDescent="0.25">
      <c r="A175" s="1">
        <v>1</v>
      </c>
      <c r="B175" s="1">
        <v>174</v>
      </c>
      <c r="C175">
        <v>11</v>
      </c>
      <c r="D175">
        <v>807692</v>
      </c>
      <c r="E175" t="s">
        <v>161</v>
      </c>
      <c r="F175" t="s">
        <v>164</v>
      </c>
    </row>
    <row r="176" spans="1:6" x14ac:dyDescent="0.25">
      <c r="A176" s="1">
        <v>1</v>
      </c>
      <c r="B176" s="1">
        <v>175</v>
      </c>
      <c r="C176">
        <v>12</v>
      </c>
      <c r="D176">
        <v>17799</v>
      </c>
      <c r="E176" t="s">
        <v>161</v>
      </c>
      <c r="F176" t="s">
        <v>164</v>
      </c>
    </row>
    <row r="177" spans="1:6" x14ac:dyDescent="0.25">
      <c r="A177" s="1">
        <v>1</v>
      </c>
      <c r="B177" s="1">
        <v>176</v>
      </c>
      <c r="C177">
        <v>13</v>
      </c>
      <c r="D177">
        <v>44800</v>
      </c>
      <c r="E177" t="s">
        <v>161</v>
      </c>
      <c r="F177" t="s">
        <v>164</v>
      </c>
    </row>
    <row r="178" spans="1:6" x14ac:dyDescent="0.25">
      <c r="A178" s="1">
        <v>1</v>
      </c>
      <c r="B178" s="1">
        <v>177</v>
      </c>
      <c r="C178">
        <v>14</v>
      </c>
      <c r="D178">
        <v>750000</v>
      </c>
      <c r="E178" t="s">
        <v>161</v>
      </c>
      <c r="F178" t="s">
        <v>164</v>
      </c>
    </row>
    <row r="179" spans="1:6" x14ac:dyDescent="0.25">
      <c r="A179" s="1">
        <v>1</v>
      </c>
      <c r="B179" s="1">
        <v>178</v>
      </c>
      <c r="C179">
        <v>15</v>
      </c>
      <c r="D179">
        <v>9000</v>
      </c>
      <c r="E179" t="s">
        <v>161</v>
      </c>
      <c r="F179" t="s">
        <v>164</v>
      </c>
    </row>
    <row r="180" spans="1:6" x14ac:dyDescent="0.25">
      <c r="A180" s="1">
        <v>1</v>
      </c>
      <c r="B180" s="1">
        <v>179</v>
      </c>
      <c r="C180">
        <v>16</v>
      </c>
      <c r="D180">
        <v>138500</v>
      </c>
      <c r="E180" t="s">
        <v>161</v>
      </c>
      <c r="F180" t="s">
        <v>164</v>
      </c>
    </row>
    <row r="181" spans="1:6" x14ac:dyDescent="0.25">
      <c r="A181" s="1">
        <v>1</v>
      </c>
      <c r="B181" s="1">
        <v>180</v>
      </c>
      <c r="C181">
        <v>17</v>
      </c>
      <c r="D181">
        <v>872625</v>
      </c>
      <c r="E181" t="s">
        <v>161</v>
      </c>
      <c r="F181" t="s">
        <v>164</v>
      </c>
    </row>
    <row r="182" spans="1:6" x14ac:dyDescent="0.25">
      <c r="A182" s="1">
        <v>1</v>
      </c>
      <c r="B182" s="1">
        <v>181</v>
      </c>
      <c r="C182">
        <v>18</v>
      </c>
      <c r="D182">
        <v>4500</v>
      </c>
      <c r="E182" t="s">
        <v>161</v>
      </c>
      <c r="F182" t="s">
        <v>164</v>
      </c>
    </row>
    <row r="183" spans="1:6" x14ac:dyDescent="0.25">
      <c r="A183" s="1">
        <v>1</v>
      </c>
      <c r="B183" s="1">
        <v>182</v>
      </c>
      <c r="C183">
        <v>19</v>
      </c>
      <c r="D183">
        <v>390000</v>
      </c>
      <c r="E183" t="s">
        <v>161</v>
      </c>
      <c r="F183" t="s">
        <v>164</v>
      </c>
    </row>
    <row r="184" spans="1:6" x14ac:dyDescent="0.25">
      <c r="A184" s="1">
        <v>1</v>
      </c>
      <c r="B184" s="1">
        <v>183</v>
      </c>
      <c r="C184">
        <v>20</v>
      </c>
      <c r="D184">
        <v>750000</v>
      </c>
      <c r="E184" t="s">
        <v>161</v>
      </c>
      <c r="F184" t="s">
        <v>164</v>
      </c>
    </row>
    <row r="185" spans="1:6" x14ac:dyDescent="0.25">
      <c r="A185" s="1">
        <v>1</v>
      </c>
      <c r="B185" s="1">
        <v>184</v>
      </c>
      <c r="C185">
        <v>21</v>
      </c>
      <c r="D185">
        <v>9200</v>
      </c>
      <c r="E185" t="s">
        <v>161</v>
      </c>
      <c r="F185" t="s">
        <v>164</v>
      </c>
    </row>
    <row r="186" spans="1:6" x14ac:dyDescent="0.25">
      <c r="A186" s="1">
        <v>1</v>
      </c>
      <c r="B186" s="1">
        <v>185</v>
      </c>
      <c r="C186">
        <v>22</v>
      </c>
      <c r="D186">
        <v>359000</v>
      </c>
      <c r="E186" t="s">
        <v>161</v>
      </c>
      <c r="F186" t="s">
        <v>164</v>
      </c>
    </row>
    <row r="187" spans="1:6" x14ac:dyDescent="0.25">
      <c r="A187" s="1">
        <v>1</v>
      </c>
      <c r="B187" s="1">
        <v>186</v>
      </c>
      <c r="C187">
        <v>23</v>
      </c>
      <c r="D187">
        <v>828000</v>
      </c>
      <c r="E187" t="s">
        <v>161</v>
      </c>
      <c r="F187" t="s">
        <v>164</v>
      </c>
    </row>
    <row r="188" spans="1:6" x14ac:dyDescent="0.25">
      <c r="A188" s="1">
        <v>1</v>
      </c>
      <c r="B188" s="1">
        <v>187</v>
      </c>
      <c r="C188">
        <v>24</v>
      </c>
      <c r="D188">
        <v>2600</v>
      </c>
      <c r="E188" t="s">
        <v>161</v>
      </c>
      <c r="F188" t="s">
        <v>164</v>
      </c>
    </row>
    <row r="189" spans="1:6" x14ac:dyDescent="0.25">
      <c r="A189" s="1">
        <v>1</v>
      </c>
      <c r="B189" s="1">
        <v>188</v>
      </c>
      <c r="C189">
        <v>25</v>
      </c>
      <c r="D189">
        <v>83333</v>
      </c>
      <c r="E189" t="s">
        <v>161</v>
      </c>
      <c r="F189" t="s">
        <v>164</v>
      </c>
    </row>
    <row r="190" spans="1:6" x14ac:dyDescent="0.25">
      <c r="A190" s="1">
        <v>1</v>
      </c>
      <c r="B190" s="1">
        <v>189</v>
      </c>
      <c r="C190">
        <v>26</v>
      </c>
      <c r="D190">
        <v>578999</v>
      </c>
      <c r="E190" t="s">
        <v>161</v>
      </c>
      <c r="F190" t="s">
        <v>164</v>
      </c>
    </row>
    <row r="191" spans="1:6" x14ac:dyDescent="0.25">
      <c r="A191" s="1">
        <v>1</v>
      </c>
      <c r="B191" s="1">
        <v>190</v>
      </c>
      <c r="C191">
        <v>101</v>
      </c>
      <c r="D191">
        <v>13600</v>
      </c>
      <c r="E191" t="s">
        <v>161</v>
      </c>
      <c r="F191" t="s">
        <v>164</v>
      </c>
    </row>
    <row r="192" spans="1:6" x14ac:dyDescent="0.25">
      <c r="A192" s="1">
        <v>1</v>
      </c>
      <c r="B192" s="1">
        <v>191</v>
      </c>
      <c r="C192">
        <v>102</v>
      </c>
      <c r="D192">
        <v>19000</v>
      </c>
      <c r="E192" t="s">
        <v>161</v>
      </c>
      <c r="F192" t="s">
        <v>164</v>
      </c>
    </row>
    <row r="193" spans="1:6" x14ac:dyDescent="0.25">
      <c r="A193" s="1">
        <v>1</v>
      </c>
      <c r="B193" s="1">
        <v>192</v>
      </c>
      <c r="C193">
        <v>103</v>
      </c>
      <c r="D193">
        <v>86030</v>
      </c>
      <c r="E193" t="s">
        <v>161</v>
      </c>
      <c r="F193" t="s">
        <v>164</v>
      </c>
    </row>
    <row r="194" spans="1:6" x14ac:dyDescent="0.25">
      <c r="A194" s="1">
        <v>1</v>
      </c>
      <c r="B194" s="1">
        <v>193</v>
      </c>
      <c r="C194">
        <v>1</v>
      </c>
      <c r="D194">
        <v>15400</v>
      </c>
      <c r="E194" t="s">
        <v>165</v>
      </c>
      <c r="F194" t="s">
        <v>166</v>
      </c>
    </row>
    <row r="195" spans="1:6" x14ac:dyDescent="0.25">
      <c r="A195" s="1">
        <v>1</v>
      </c>
      <c r="B195" s="1">
        <v>194</v>
      </c>
      <c r="C195">
        <v>2</v>
      </c>
      <c r="D195">
        <v>8800</v>
      </c>
      <c r="E195" t="s">
        <v>165</v>
      </c>
      <c r="F195" t="s">
        <v>166</v>
      </c>
    </row>
    <row r="196" spans="1:6" x14ac:dyDescent="0.25">
      <c r="A196" s="1">
        <v>1</v>
      </c>
      <c r="B196" s="1">
        <v>195</v>
      </c>
      <c r="C196">
        <v>3</v>
      </c>
      <c r="D196">
        <v>69500</v>
      </c>
      <c r="E196" t="s">
        <v>165</v>
      </c>
      <c r="F196" t="s">
        <v>166</v>
      </c>
    </row>
    <row r="197" spans="1:6" x14ac:dyDescent="0.25">
      <c r="A197" s="1">
        <v>1</v>
      </c>
      <c r="B197" s="1">
        <v>196</v>
      </c>
      <c r="C197">
        <v>9</v>
      </c>
      <c r="D197">
        <v>10600</v>
      </c>
      <c r="E197" t="s">
        <v>165</v>
      </c>
      <c r="F197" t="s">
        <v>166</v>
      </c>
    </row>
    <row r="198" spans="1:6" x14ac:dyDescent="0.25">
      <c r="A198" s="1">
        <v>1</v>
      </c>
      <c r="B198" s="1">
        <v>197</v>
      </c>
      <c r="C198">
        <v>10</v>
      </c>
      <c r="D198">
        <v>500000</v>
      </c>
      <c r="E198" t="s">
        <v>165</v>
      </c>
      <c r="F198" t="s">
        <v>166</v>
      </c>
    </row>
    <row r="199" spans="1:6" x14ac:dyDescent="0.25">
      <c r="A199" s="1">
        <v>1</v>
      </c>
      <c r="B199" s="1">
        <v>198</v>
      </c>
      <c r="C199">
        <v>11</v>
      </c>
      <c r="D199">
        <v>807692</v>
      </c>
      <c r="E199" t="s">
        <v>165</v>
      </c>
      <c r="F199" t="s">
        <v>166</v>
      </c>
    </row>
    <row r="200" spans="1:6" x14ac:dyDescent="0.25">
      <c r="A200" s="1">
        <v>1</v>
      </c>
      <c r="B200" s="1">
        <v>199</v>
      </c>
      <c r="C200">
        <v>12</v>
      </c>
      <c r="D200">
        <v>14800</v>
      </c>
      <c r="E200" t="s">
        <v>165</v>
      </c>
      <c r="F200" t="s">
        <v>166</v>
      </c>
    </row>
    <row r="201" spans="1:6" x14ac:dyDescent="0.25">
      <c r="A201" s="1">
        <v>1</v>
      </c>
      <c r="B201" s="1">
        <v>200</v>
      </c>
      <c r="C201">
        <v>13</v>
      </c>
      <c r="D201">
        <v>44800</v>
      </c>
      <c r="E201" t="s">
        <v>165</v>
      </c>
      <c r="F201" t="s">
        <v>166</v>
      </c>
    </row>
    <row r="202" spans="1:6" x14ac:dyDescent="0.25">
      <c r="A202" s="1">
        <v>1</v>
      </c>
      <c r="B202" s="1">
        <v>201</v>
      </c>
      <c r="C202">
        <v>14</v>
      </c>
      <c r="D202">
        <v>750000</v>
      </c>
      <c r="E202" t="s">
        <v>165</v>
      </c>
      <c r="F202" t="s">
        <v>166</v>
      </c>
    </row>
    <row r="203" spans="1:6" x14ac:dyDescent="0.25">
      <c r="A203" s="1">
        <v>1</v>
      </c>
      <c r="B203" s="1">
        <v>202</v>
      </c>
      <c r="C203">
        <v>15</v>
      </c>
      <c r="D203">
        <v>9000</v>
      </c>
      <c r="E203" t="s">
        <v>165</v>
      </c>
      <c r="F203" t="s">
        <v>166</v>
      </c>
    </row>
    <row r="204" spans="1:6" x14ac:dyDescent="0.25">
      <c r="A204" s="1">
        <v>1</v>
      </c>
      <c r="B204" s="1">
        <v>203</v>
      </c>
      <c r="C204">
        <v>16</v>
      </c>
      <c r="D204">
        <v>138500</v>
      </c>
      <c r="E204" t="s">
        <v>165</v>
      </c>
      <c r="F204" t="s">
        <v>166</v>
      </c>
    </row>
    <row r="205" spans="1:6" x14ac:dyDescent="0.25">
      <c r="A205" s="1">
        <v>1</v>
      </c>
      <c r="B205" s="1">
        <v>204</v>
      </c>
      <c r="C205">
        <v>17</v>
      </c>
      <c r="D205">
        <v>872625</v>
      </c>
      <c r="E205" t="s">
        <v>165</v>
      </c>
      <c r="F205" t="s">
        <v>167</v>
      </c>
    </row>
    <row r="206" spans="1:6" x14ac:dyDescent="0.25">
      <c r="A206" s="1">
        <v>1</v>
      </c>
      <c r="B206" s="1">
        <v>205</v>
      </c>
      <c r="C206">
        <v>18</v>
      </c>
      <c r="D206">
        <v>4300</v>
      </c>
      <c r="E206" t="s">
        <v>165</v>
      </c>
      <c r="F206" t="s">
        <v>167</v>
      </c>
    </row>
    <row r="207" spans="1:6" x14ac:dyDescent="0.25">
      <c r="A207" s="1">
        <v>1</v>
      </c>
      <c r="B207" s="1">
        <v>206</v>
      </c>
      <c r="C207">
        <v>19</v>
      </c>
      <c r="D207">
        <v>330000</v>
      </c>
      <c r="E207" t="s">
        <v>165</v>
      </c>
      <c r="F207" t="s">
        <v>167</v>
      </c>
    </row>
    <row r="208" spans="1:6" x14ac:dyDescent="0.25">
      <c r="A208" s="1">
        <v>1</v>
      </c>
      <c r="B208" s="1">
        <v>207</v>
      </c>
      <c r="C208">
        <v>20</v>
      </c>
      <c r="D208">
        <v>750000</v>
      </c>
      <c r="E208" t="s">
        <v>165</v>
      </c>
      <c r="F208" t="s">
        <v>167</v>
      </c>
    </row>
    <row r="209" spans="1:6" x14ac:dyDescent="0.25">
      <c r="A209" s="1">
        <v>1</v>
      </c>
      <c r="B209" s="1">
        <v>208</v>
      </c>
      <c r="C209">
        <v>21</v>
      </c>
      <c r="D209">
        <v>8800</v>
      </c>
      <c r="E209" t="s">
        <v>165</v>
      </c>
      <c r="F209" t="s">
        <v>167</v>
      </c>
    </row>
    <row r="210" spans="1:6" x14ac:dyDescent="0.25">
      <c r="A210" s="1">
        <v>1</v>
      </c>
      <c r="B210" s="1">
        <v>209</v>
      </c>
      <c r="C210">
        <v>22</v>
      </c>
      <c r="D210">
        <v>299000</v>
      </c>
      <c r="E210" t="s">
        <v>165</v>
      </c>
      <c r="F210" t="s">
        <v>167</v>
      </c>
    </row>
    <row r="211" spans="1:6" x14ac:dyDescent="0.25">
      <c r="A211" s="1">
        <v>1</v>
      </c>
      <c r="B211" s="1">
        <v>210</v>
      </c>
      <c r="C211">
        <v>23</v>
      </c>
      <c r="D211">
        <v>828000</v>
      </c>
      <c r="E211" t="s">
        <v>165</v>
      </c>
      <c r="F211" t="s">
        <v>167</v>
      </c>
    </row>
    <row r="212" spans="1:6" x14ac:dyDescent="0.25">
      <c r="A212" s="1">
        <v>1</v>
      </c>
      <c r="B212" s="1">
        <v>211</v>
      </c>
      <c r="C212">
        <v>24</v>
      </c>
      <c r="D212">
        <v>2600</v>
      </c>
      <c r="E212" t="s">
        <v>165</v>
      </c>
      <c r="F212" t="s">
        <v>167</v>
      </c>
    </row>
    <row r="213" spans="1:6" x14ac:dyDescent="0.25">
      <c r="A213" s="1">
        <v>1</v>
      </c>
      <c r="B213" s="1">
        <v>212</v>
      </c>
      <c r="C213">
        <v>25</v>
      </c>
      <c r="D213">
        <v>81000</v>
      </c>
      <c r="E213" t="s">
        <v>165</v>
      </c>
      <c r="F213" t="s">
        <v>167</v>
      </c>
    </row>
    <row r="214" spans="1:6" x14ac:dyDescent="0.25">
      <c r="A214" s="1">
        <v>1</v>
      </c>
      <c r="B214" s="1">
        <v>213</v>
      </c>
      <c r="C214">
        <v>26</v>
      </c>
      <c r="D214">
        <v>578999</v>
      </c>
      <c r="E214" t="s">
        <v>165</v>
      </c>
      <c r="F214" t="s">
        <v>167</v>
      </c>
    </row>
    <row r="215" spans="1:6" x14ac:dyDescent="0.25">
      <c r="A215" s="1">
        <v>1</v>
      </c>
      <c r="B215" s="1">
        <v>214</v>
      </c>
      <c r="C215">
        <v>101</v>
      </c>
      <c r="D215">
        <v>13600</v>
      </c>
      <c r="E215" t="s">
        <v>165</v>
      </c>
      <c r="F215" t="s">
        <v>167</v>
      </c>
    </row>
    <row r="216" spans="1:6" x14ac:dyDescent="0.25">
      <c r="A216" s="1">
        <v>1</v>
      </c>
      <c r="B216" s="1">
        <v>215</v>
      </c>
      <c r="C216">
        <v>102</v>
      </c>
      <c r="D216">
        <v>19000</v>
      </c>
      <c r="E216" t="s">
        <v>165</v>
      </c>
      <c r="F216" t="s">
        <v>167</v>
      </c>
    </row>
    <row r="217" spans="1:6" x14ac:dyDescent="0.25">
      <c r="A217" s="1">
        <v>1</v>
      </c>
      <c r="B217" s="1">
        <v>216</v>
      </c>
      <c r="C217">
        <v>103</v>
      </c>
      <c r="D217">
        <v>86030</v>
      </c>
      <c r="E217" t="s">
        <v>165</v>
      </c>
      <c r="F217" t="s">
        <v>167</v>
      </c>
    </row>
    <row r="218" spans="1:6" x14ac:dyDescent="0.25">
      <c r="A218" s="1">
        <v>1</v>
      </c>
      <c r="B218" s="1">
        <v>217</v>
      </c>
      <c r="C218" s="1">
        <v>1</v>
      </c>
      <c r="D218">
        <v>15400</v>
      </c>
      <c r="E218" s="2">
        <v>46175</v>
      </c>
      <c r="F218" s="4">
        <v>0.5007638888888889</v>
      </c>
    </row>
    <row r="219" spans="1:6" x14ac:dyDescent="0.25">
      <c r="A219" s="1">
        <v>1</v>
      </c>
      <c r="B219" s="1">
        <v>218</v>
      </c>
      <c r="C219" s="1">
        <v>2</v>
      </c>
      <c r="D219">
        <v>8600</v>
      </c>
      <c r="E219" s="2">
        <v>46175</v>
      </c>
      <c r="F219" s="4">
        <v>0.5007638888888889</v>
      </c>
    </row>
    <row r="220" spans="1:6" x14ac:dyDescent="0.25">
      <c r="A220" s="1">
        <v>1</v>
      </c>
      <c r="B220" s="1">
        <v>219</v>
      </c>
      <c r="C220" s="1">
        <v>3</v>
      </c>
      <c r="D220">
        <v>69000</v>
      </c>
      <c r="E220" s="2">
        <v>46175</v>
      </c>
      <c r="F220" s="4">
        <v>0.5007638888888889</v>
      </c>
    </row>
    <row r="221" spans="1:6" x14ac:dyDescent="0.25">
      <c r="A221" s="1">
        <v>1</v>
      </c>
      <c r="B221" s="1">
        <v>220</v>
      </c>
      <c r="C221" s="1">
        <v>9</v>
      </c>
      <c r="D221">
        <v>10399</v>
      </c>
      <c r="E221" s="2">
        <v>46175</v>
      </c>
      <c r="F221" s="4">
        <v>0.5007638888888889</v>
      </c>
    </row>
    <row r="222" spans="1:6" x14ac:dyDescent="0.25">
      <c r="A222" s="1">
        <v>1</v>
      </c>
      <c r="B222" s="1">
        <v>221</v>
      </c>
      <c r="C222" s="1">
        <v>10</v>
      </c>
      <c r="D222">
        <v>498000</v>
      </c>
      <c r="E222" s="2">
        <v>46175</v>
      </c>
      <c r="F222" s="4">
        <v>0.5007638888888889</v>
      </c>
    </row>
    <row r="223" spans="1:6" x14ac:dyDescent="0.25">
      <c r="A223" s="1">
        <v>1</v>
      </c>
      <c r="B223" s="1">
        <v>222</v>
      </c>
      <c r="C223" s="1">
        <v>11</v>
      </c>
      <c r="D223">
        <v>807692</v>
      </c>
      <c r="E223" s="2">
        <v>46175</v>
      </c>
      <c r="F223" s="4">
        <v>0.5007638888888889</v>
      </c>
    </row>
    <row r="224" spans="1:6" x14ac:dyDescent="0.25">
      <c r="A224" s="1">
        <v>1</v>
      </c>
      <c r="B224" s="1">
        <v>223</v>
      </c>
      <c r="C224" s="1">
        <v>12</v>
      </c>
      <c r="D224">
        <v>17799</v>
      </c>
      <c r="E224" s="2">
        <v>46175</v>
      </c>
      <c r="F224" s="4">
        <v>0.5007638888888889</v>
      </c>
    </row>
    <row r="225" spans="1:6" x14ac:dyDescent="0.25">
      <c r="A225" s="1">
        <v>1</v>
      </c>
      <c r="B225" s="1">
        <v>224</v>
      </c>
      <c r="C225" s="1">
        <v>13</v>
      </c>
      <c r="D225">
        <v>44800</v>
      </c>
      <c r="E225" s="2">
        <v>46175</v>
      </c>
      <c r="F225" s="4">
        <v>0.5007638888888889</v>
      </c>
    </row>
    <row r="226" spans="1:6" x14ac:dyDescent="0.25">
      <c r="A226" s="1">
        <v>1</v>
      </c>
      <c r="B226" s="1">
        <v>225</v>
      </c>
      <c r="C226" s="1">
        <v>14</v>
      </c>
      <c r="D226">
        <v>750000</v>
      </c>
      <c r="E226" s="2">
        <v>46175</v>
      </c>
      <c r="F226" s="4">
        <v>0.5007638888888889</v>
      </c>
    </row>
    <row r="227" spans="1:6" x14ac:dyDescent="0.25">
      <c r="A227" s="1">
        <v>1</v>
      </c>
      <c r="B227" s="1">
        <v>226</v>
      </c>
      <c r="C227" s="1">
        <v>15</v>
      </c>
      <c r="D227">
        <v>9000</v>
      </c>
      <c r="E227" s="2">
        <v>46175</v>
      </c>
      <c r="F227" s="4">
        <v>0.5007638888888889</v>
      </c>
    </row>
    <row r="228" spans="1:6" x14ac:dyDescent="0.25">
      <c r="A228" s="1">
        <v>1</v>
      </c>
      <c r="B228" s="1">
        <v>227</v>
      </c>
      <c r="C228" s="1">
        <v>16</v>
      </c>
      <c r="D228">
        <v>138500</v>
      </c>
      <c r="E228" s="2">
        <v>46175</v>
      </c>
      <c r="F228" s="4">
        <v>0.5007638888888889</v>
      </c>
    </row>
    <row r="229" spans="1:6" x14ac:dyDescent="0.25">
      <c r="A229" s="1">
        <v>1</v>
      </c>
      <c r="B229" s="1">
        <v>228</v>
      </c>
      <c r="C229" s="1">
        <v>17</v>
      </c>
      <c r="D229">
        <v>872625</v>
      </c>
      <c r="E229" s="2">
        <v>46175</v>
      </c>
      <c r="F229" s="4">
        <v>0.5007638888888889</v>
      </c>
    </row>
    <row r="230" spans="1:6" x14ac:dyDescent="0.25">
      <c r="A230" s="1">
        <v>1</v>
      </c>
      <c r="B230" s="1">
        <v>229</v>
      </c>
      <c r="C230" s="1">
        <v>18</v>
      </c>
      <c r="D230">
        <v>4299</v>
      </c>
      <c r="E230" s="2">
        <v>46175</v>
      </c>
      <c r="F230" s="4">
        <v>0.5007638888888889</v>
      </c>
    </row>
    <row r="231" spans="1:6" x14ac:dyDescent="0.25">
      <c r="A231" s="1">
        <v>1</v>
      </c>
      <c r="B231" s="1">
        <v>230</v>
      </c>
      <c r="C231" s="1">
        <v>19</v>
      </c>
      <c r="D231">
        <v>330000</v>
      </c>
      <c r="E231" s="2">
        <v>46175</v>
      </c>
      <c r="F231" s="4">
        <v>0.5007638888888889</v>
      </c>
    </row>
    <row r="232" spans="1:6" x14ac:dyDescent="0.25">
      <c r="A232" s="1">
        <v>1</v>
      </c>
      <c r="B232" s="1">
        <v>231</v>
      </c>
      <c r="C232" s="1">
        <v>20</v>
      </c>
      <c r="D232">
        <v>750000</v>
      </c>
      <c r="E232" s="2">
        <v>46175</v>
      </c>
      <c r="F232" s="4">
        <v>0.5007638888888889</v>
      </c>
    </row>
    <row r="233" spans="1:6" x14ac:dyDescent="0.25">
      <c r="A233" s="1">
        <v>1</v>
      </c>
      <c r="B233" s="1">
        <v>232</v>
      </c>
      <c r="C233" s="1">
        <v>21</v>
      </c>
      <c r="D233">
        <v>8799</v>
      </c>
      <c r="E233" s="2">
        <v>46175</v>
      </c>
      <c r="F233" s="4">
        <v>0.5007638888888889</v>
      </c>
    </row>
    <row r="234" spans="1:6" x14ac:dyDescent="0.25">
      <c r="A234" s="1">
        <v>1</v>
      </c>
      <c r="B234" s="1">
        <v>233</v>
      </c>
      <c r="C234" s="1">
        <v>22</v>
      </c>
      <c r="D234">
        <v>359999</v>
      </c>
      <c r="E234" s="2">
        <v>46175</v>
      </c>
      <c r="F234" s="4">
        <v>0.5007638888888889</v>
      </c>
    </row>
    <row r="235" spans="1:6" x14ac:dyDescent="0.25">
      <c r="A235" s="1">
        <v>1</v>
      </c>
      <c r="B235" s="1">
        <v>234</v>
      </c>
      <c r="C235" s="1">
        <v>23</v>
      </c>
      <c r="D235">
        <v>828000</v>
      </c>
      <c r="E235" s="2">
        <v>46175</v>
      </c>
      <c r="F235" s="4">
        <v>0.5007638888888889</v>
      </c>
    </row>
    <row r="236" spans="1:6" x14ac:dyDescent="0.25">
      <c r="A236" s="1">
        <v>1</v>
      </c>
      <c r="B236" s="1">
        <v>235</v>
      </c>
      <c r="C236" s="1">
        <v>24</v>
      </c>
      <c r="D236">
        <v>9999</v>
      </c>
      <c r="E236" s="2">
        <v>46175</v>
      </c>
      <c r="F236" s="4">
        <v>0.5007638888888889</v>
      </c>
    </row>
    <row r="237" spans="1:6" x14ac:dyDescent="0.25">
      <c r="A237" s="1">
        <v>1</v>
      </c>
      <c r="B237" s="1">
        <v>236</v>
      </c>
      <c r="C237" s="1">
        <v>25</v>
      </c>
      <c r="D237">
        <v>80999</v>
      </c>
      <c r="E237" s="2">
        <v>46175</v>
      </c>
      <c r="F237" s="4">
        <v>0.5007638888888889</v>
      </c>
    </row>
    <row r="238" spans="1:6" x14ac:dyDescent="0.25">
      <c r="A238" s="1">
        <v>1</v>
      </c>
      <c r="B238" s="1">
        <v>237</v>
      </c>
      <c r="C238" s="1">
        <v>26</v>
      </c>
      <c r="D238">
        <v>578999</v>
      </c>
      <c r="E238" s="2">
        <v>46175</v>
      </c>
      <c r="F238" s="4">
        <v>0.5007638888888889</v>
      </c>
    </row>
    <row r="239" spans="1:6" x14ac:dyDescent="0.25">
      <c r="A239" s="1">
        <v>1</v>
      </c>
      <c r="B239" s="1">
        <v>238</v>
      </c>
      <c r="C239" s="1">
        <v>101</v>
      </c>
      <c r="D239">
        <v>13600</v>
      </c>
      <c r="E239" s="2">
        <v>46175</v>
      </c>
      <c r="F239" s="4">
        <v>0.5007638888888889</v>
      </c>
    </row>
    <row r="240" spans="1:6" x14ac:dyDescent="0.25">
      <c r="A240" s="1">
        <v>1</v>
      </c>
      <c r="B240" s="1">
        <v>239</v>
      </c>
      <c r="C240" s="1">
        <v>102</v>
      </c>
      <c r="D240">
        <v>19000</v>
      </c>
      <c r="E240" s="2">
        <v>46175</v>
      </c>
      <c r="F240" s="4">
        <v>0.5007638888888889</v>
      </c>
    </row>
    <row r="241" spans="1:6" x14ac:dyDescent="0.25">
      <c r="A241" s="1">
        <v>1</v>
      </c>
      <c r="B241" s="1">
        <v>240</v>
      </c>
      <c r="C241" s="1">
        <v>103</v>
      </c>
      <c r="D241">
        <v>86030</v>
      </c>
      <c r="E241" s="2">
        <v>46175</v>
      </c>
      <c r="F241" s="4">
        <v>0.5007638888888889</v>
      </c>
    </row>
    <row r="242" spans="1:6" x14ac:dyDescent="0.25">
      <c r="A242" s="1">
        <v>1</v>
      </c>
      <c r="B242" s="1">
        <v>241</v>
      </c>
      <c r="C242">
        <v>1</v>
      </c>
      <c r="D242">
        <v>14833</v>
      </c>
      <c r="E242" t="s">
        <v>165</v>
      </c>
      <c r="F242" t="s">
        <v>171</v>
      </c>
    </row>
    <row r="243" spans="1:6" x14ac:dyDescent="0.25">
      <c r="A243" s="1">
        <v>1</v>
      </c>
      <c r="B243" s="1">
        <v>242</v>
      </c>
      <c r="C243">
        <v>2</v>
      </c>
      <c r="D243">
        <v>8400</v>
      </c>
      <c r="E243" t="s">
        <v>165</v>
      </c>
      <c r="F243" t="s">
        <v>171</v>
      </c>
    </row>
    <row r="244" spans="1:6" x14ac:dyDescent="0.25">
      <c r="A244" s="1">
        <v>1</v>
      </c>
      <c r="B244" s="1">
        <v>243</v>
      </c>
      <c r="C244">
        <v>3</v>
      </c>
      <c r="D244">
        <v>60000</v>
      </c>
      <c r="E244" t="s">
        <v>165</v>
      </c>
      <c r="F244" t="s">
        <v>171</v>
      </c>
    </row>
    <row r="245" spans="1:6" x14ac:dyDescent="0.25">
      <c r="A245" s="1">
        <v>1</v>
      </c>
      <c r="B245" s="1">
        <v>244</v>
      </c>
      <c r="C245">
        <v>9</v>
      </c>
      <c r="D245">
        <v>13000</v>
      </c>
      <c r="E245" t="s">
        <v>165</v>
      </c>
      <c r="F245" t="s">
        <v>171</v>
      </c>
    </row>
    <row r="246" spans="1:6" x14ac:dyDescent="0.25">
      <c r="A246" s="1">
        <v>1</v>
      </c>
      <c r="B246" s="1">
        <v>245</v>
      </c>
      <c r="C246">
        <v>10</v>
      </c>
      <c r="D246">
        <v>499900</v>
      </c>
      <c r="E246" t="s">
        <v>165</v>
      </c>
      <c r="F246" t="s">
        <v>171</v>
      </c>
    </row>
    <row r="247" spans="1:6" x14ac:dyDescent="0.25">
      <c r="A247" s="1">
        <v>1</v>
      </c>
      <c r="B247" s="1">
        <v>246</v>
      </c>
      <c r="C247">
        <v>11</v>
      </c>
      <c r="D247">
        <v>807692</v>
      </c>
      <c r="E247" t="s">
        <v>165</v>
      </c>
      <c r="F247" t="s">
        <v>171</v>
      </c>
    </row>
    <row r="248" spans="1:6" x14ac:dyDescent="0.25">
      <c r="A248" s="1">
        <v>1</v>
      </c>
      <c r="B248" s="1">
        <v>247</v>
      </c>
      <c r="C248">
        <v>12</v>
      </c>
      <c r="D248">
        <v>12600</v>
      </c>
      <c r="E248" t="s">
        <v>165</v>
      </c>
      <c r="F248" t="s">
        <v>171</v>
      </c>
    </row>
    <row r="249" spans="1:6" x14ac:dyDescent="0.25">
      <c r="A249" s="1">
        <v>1</v>
      </c>
      <c r="B249" s="1">
        <v>248</v>
      </c>
      <c r="C249">
        <v>13</v>
      </c>
      <c r="D249">
        <v>44800</v>
      </c>
      <c r="E249" t="s">
        <v>165</v>
      </c>
      <c r="F249" t="s">
        <v>171</v>
      </c>
    </row>
    <row r="250" spans="1:6" x14ac:dyDescent="0.25">
      <c r="A250" s="1">
        <v>1</v>
      </c>
      <c r="B250" s="1">
        <v>249</v>
      </c>
      <c r="C250">
        <v>14</v>
      </c>
      <c r="D250">
        <v>750000</v>
      </c>
      <c r="E250" t="s">
        <v>165</v>
      </c>
      <c r="F250" t="s">
        <v>171</v>
      </c>
    </row>
    <row r="251" spans="1:6" x14ac:dyDescent="0.25">
      <c r="A251" s="1">
        <v>1</v>
      </c>
      <c r="B251" s="1">
        <v>250</v>
      </c>
      <c r="C251">
        <v>15</v>
      </c>
      <c r="D251">
        <v>9000</v>
      </c>
      <c r="E251" t="s">
        <v>165</v>
      </c>
      <c r="F251" t="s">
        <v>171</v>
      </c>
    </row>
    <row r="252" spans="1:6" x14ac:dyDescent="0.25">
      <c r="A252" s="1">
        <v>1</v>
      </c>
      <c r="B252" s="1">
        <v>251</v>
      </c>
      <c r="C252">
        <v>16</v>
      </c>
      <c r="D252">
        <v>138500</v>
      </c>
      <c r="E252" t="s">
        <v>165</v>
      </c>
      <c r="F252" t="s">
        <v>171</v>
      </c>
    </row>
    <row r="253" spans="1:6" x14ac:dyDescent="0.25">
      <c r="A253" s="1">
        <v>1</v>
      </c>
      <c r="B253" s="1">
        <v>252</v>
      </c>
      <c r="C253">
        <v>17</v>
      </c>
      <c r="D253">
        <v>872625</v>
      </c>
      <c r="E253" t="s">
        <v>165</v>
      </c>
      <c r="F253" t="s">
        <v>171</v>
      </c>
    </row>
    <row r="254" spans="1:6" x14ac:dyDescent="0.25">
      <c r="A254" s="1">
        <v>1</v>
      </c>
      <c r="B254" s="1">
        <v>253</v>
      </c>
      <c r="C254">
        <v>18</v>
      </c>
      <c r="D254">
        <v>3900</v>
      </c>
      <c r="E254" t="s">
        <v>165</v>
      </c>
      <c r="F254" t="s">
        <v>171</v>
      </c>
    </row>
    <row r="255" spans="1:6" x14ac:dyDescent="0.25">
      <c r="A255" s="1">
        <v>1</v>
      </c>
      <c r="B255" s="1">
        <v>254</v>
      </c>
      <c r="C255">
        <v>19</v>
      </c>
      <c r="D255">
        <v>307000</v>
      </c>
      <c r="E255" t="s">
        <v>165</v>
      </c>
      <c r="F255" t="s">
        <v>171</v>
      </c>
    </row>
    <row r="256" spans="1:6" x14ac:dyDescent="0.25">
      <c r="A256" s="1">
        <v>1</v>
      </c>
      <c r="B256" s="1">
        <v>255</v>
      </c>
      <c r="C256">
        <v>20</v>
      </c>
      <c r="D256">
        <v>750000</v>
      </c>
      <c r="E256" t="s">
        <v>165</v>
      </c>
      <c r="F256" t="s">
        <v>171</v>
      </c>
    </row>
    <row r="257" spans="1:6" x14ac:dyDescent="0.25">
      <c r="A257" s="1">
        <v>1</v>
      </c>
      <c r="B257" s="1">
        <v>256</v>
      </c>
      <c r="C257">
        <v>21</v>
      </c>
      <c r="D257">
        <v>8500</v>
      </c>
      <c r="E257" t="s">
        <v>165</v>
      </c>
      <c r="F257" t="s">
        <v>171</v>
      </c>
    </row>
    <row r="258" spans="1:6" x14ac:dyDescent="0.25">
      <c r="A258" s="1">
        <v>1</v>
      </c>
      <c r="B258" s="1">
        <v>257</v>
      </c>
      <c r="C258">
        <v>22</v>
      </c>
      <c r="D258">
        <v>359999</v>
      </c>
      <c r="E258" t="s">
        <v>165</v>
      </c>
      <c r="F258" t="s">
        <v>171</v>
      </c>
    </row>
    <row r="259" spans="1:6" x14ac:dyDescent="0.25">
      <c r="A259" s="1">
        <v>1</v>
      </c>
      <c r="B259" s="1">
        <v>258</v>
      </c>
      <c r="C259">
        <v>23</v>
      </c>
      <c r="D259">
        <v>828000</v>
      </c>
      <c r="E259" t="s">
        <v>165</v>
      </c>
      <c r="F259" t="s">
        <v>171</v>
      </c>
    </row>
    <row r="260" spans="1:6" x14ac:dyDescent="0.25">
      <c r="A260" s="1">
        <v>1</v>
      </c>
      <c r="B260" s="1">
        <v>259</v>
      </c>
      <c r="C260">
        <v>24</v>
      </c>
      <c r="D260">
        <v>9999</v>
      </c>
      <c r="E260" t="s">
        <v>165</v>
      </c>
      <c r="F260" t="s">
        <v>171</v>
      </c>
    </row>
    <row r="261" spans="1:6" x14ac:dyDescent="0.25">
      <c r="A261" s="1">
        <v>1</v>
      </c>
      <c r="B261" s="1">
        <v>260</v>
      </c>
      <c r="C261">
        <v>25</v>
      </c>
      <c r="D261">
        <v>289000</v>
      </c>
      <c r="E261" t="s">
        <v>165</v>
      </c>
      <c r="F261" t="s">
        <v>171</v>
      </c>
    </row>
    <row r="262" spans="1:6" x14ac:dyDescent="0.25">
      <c r="A262" s="1">
        <v>1</v>
      </c>
      <c r="B262" s="1">
        <v>261</v>
      </c>
      <c r="C262">
        <v>26</v>
      </c>
      <c r="D262">
        <v>578999</v>
      </c>
      <c r="E262" t="s">
        <v>165</v>
      </c>
      <c r="F262" t="s">
        <v>171</v>
      </c>
    </row>
    <row r="263" spans="1:6" x14ac:dyDescent="0.25">
      <c r="A263" s="1">
        <v>1</v>
      </c>
      <c r="B263" s="1">
        <v>262</v>
      </c>
      <c r="C263">
        <v>101</v>
      </c>
      <c r="D263">
        <v>13600</v>
      </c>
      <c r="E263" t="s">
        <v>165</v>
      </c>
      <c r="F263" t="s">
        <v>171</v>
      </c>
    </row>
    <row r="264" spans="1:6" x14ac:dyDescent="0.25">
      <c r="A264" s="1">
        <v>1</v>
      </c>
      <c r="B264" s="1">
        <v>263</v>
      </c>
      <c r="C264">
        <v>102</v>
      </c>
      <c r="D264">
        <v>19000</v>
      </c>
      <c r="E264" t="s">
        <v>165</v>
      </c>
      <c r="F264" t="s">
        <v>171</v>
      </c>
    </row>
    <row r="265" spans="1:6" x14ac:dyDescent="0.25">
      <c r="A265" s="1">
        <v>1</v>
      </c>
      <c r="B265" s="1">
        <v>264</v>
      </c>
      <c r="C265">
        <v>103</v>
      </c>
      <c r="D265">
        <v>86030</v>
      </c>
      <c r="E265" t="s">
        <v>165</v>
      </c>
      <c r="F265" t="s">
        <v>171</v>
      </c>
    </row>
    <row r="266" spans="1:6" x14ac:dyDescent="0.25">
      <c r="A266" s="1">
        <v>1</v>
      </c>
      <c r="B266" s="1">
        <v>265</v>
      </c>
      <c r="C266">
        <v>1</v>
      </c>
      <c r="D266">
        <v>14699</v>
      </c>
      <c r="E266" t="s">
        <v>172</v>
      </c>
      <c r="F266" t="s">
        <v>173</v>
      </c>
    </row>
    <row r="267" spans="1:6" x14ac:dyDescent="0.25">
      <c r="A267" s="1">
        <v>1</v>
      </c>
      <c r="B267" s="1">
        <v>266</v>
      </c>
      <c r="C267">
        <v>2</v>
      </c>
      <c r="D267">
        <v>9900</v>
      </c>
      <c r="E267" t="s">
        <v>172</v>
      </c>
      <c r="F267" t="s">
        <v>173</v>
      </c>
    </row>
    <row r="268" spans="1:6" x14ac:dyDescent="0.25">
      <c r="A268" s="1">
        <v>1</v>
      </c>
      <c r="B268" s="1">
        <v>267</v>
      </c>
      <c r="C268">
        <v>3</v>
      </c>
      <c r="D268">
        <v>57500</v>
      </c>
      <c r="E268" t="s">
        <v>172</v>
      </c>
      <c r="F268" t="s">
        <v>173</v>
      </c>
    </row>
    <row r="269" spans="1:6" x14ac:dyDescent="0.25">
      <c r="A269" s="1">
        <v>1</v>
      </c>
      <c r="B269" s="1">
        <v>268</v>
      </c>
      <c r="C269">
        <v>9</v>
      </c>
      <c r="D269">
        <v>12000</v>
      </c>
      <c r="E269" t="s">
        <v>172</v>
      </c>
      <c r="F269" t="s">
        <v>173</v>
      </c>
    </row>
    <row r="270" spans="1:6" x14ac:dyDescent="0.25">
      <c r="A270" s="1">
        <v>1</v>
      </c>
      <c r="B270" s="1">
        <v>269</v>
      </c>
      <c r="C270">
        <v>10</v>
      </c>
      <c r="D270">
        <v>469000</v>
      </c>
      <c r="E270" t="s">
        <v>172</v>
      </c>
      <c r="F270" t="s">
        <v>173</v>
      </c>
    </row>
    <row r="271" spans="1:6" x14ac:dyDescent="0.25">
      <c r="A271" s="1">
        <v>1</v>
      </c>
      <c r="B271" s="1">
        <v>270</v>
      </c>
      <c r="C271">
        <v>11</v>
      </c>
      <c r="D271">
        <v>807692</v>
      </c>
      <c r="E271" t="s">
        <v>172</v>
      </c>
      <c r="F271" t="s">
        <v>173</v>
      </c>
    </row>
    <row r="272" spans="1:6" x14ac:dyDescent="0.25">
      <c r="A272" s="1">
        <v>1</v>
      </c>
      <c r="B272" s="1">
        <v>271</v>
      </c>
      <c r="C272">
        <v>12</v>
      </c>
      <c r="D272">
        <v>9900</v>
      </c>
      <c r="E272" t="s">
        <v>172</v>
      </c>
      <c r="F272" t="s">
        <v>173</v>
      </c>
    </row>
    <row r="273" spans="1:6" x14ac:dyDescent="0.25">
      <c r="A273" s="1">
        <v>1</v>
      </c>
      <c r="B273" s="1">
        <v>272</v>
      </c>
      <c r="C273">
        <v>13</v>
      </c>
      <c r="D273">
        <v>44800</v>
      </c>
      <c r="E273" t="s">
        <v>172</v>
      </c>
      <c r="F273" t="s">
        <v>173</v>
      </c>
    </row>
    <row r="274" spans="1:6" x14ac:dyDescent="0.25">
      <c r="A274" s="1">
        <v>1</v>
      </c>
      <c r="B274" s="1">
        <v>273</v>
      </c>
      <c r="C274">
        <v>14</v>
      </c>
      <c r="D274">
        <v>750000</v>
      </c>
      <c r="E274" t="s">
        <v>172</v>
      </c>
      <c r="F274" t="s">
        <v>173</v>
      </c>
    </row>
    <row r="275" spans="1:6" x14ac:dyDescent="0.25">
      <c r="A275" s="1">
        <v>1</v>
      </c>
      <c r="B275" s="1">
        <v>274</v>
      </c>
      <c r="C275">
        <v>15</v>
      </c>
      <c r="D275">
        <v>9000</v>
      </c>
      <c r="E275" t="s">
        <v>172</v>
      </c>
      <c r="F275" t="s">
        <v>173</v>
      </c>
    </row>
    <row r="276" spans="1:6" x14ac:dyDescent="0.25">
      <c r="A276" s="1">
        <v>1</v>
      </c>
      <c r="B276" s="1">
        <v>275</v>
      </c>
      <c r="C276">
        <v>16</v>
      </c>
      <c r="D276">
        <v>138500</v>
      </c>
      <c r="E276" t="s">
        <v>172</v>
      </c>
      <c r="F276" t="s">
        <v>173</v>
      </c>
    </row>
    <row r="277" spans="1:6" x14ac:dyDescent="0.25">
      <c r="A277" s="1">
        <v>1</v>
      </c>
      <c r="B277" s="1">
        <v>276</v>
      </c>
      <c r="C277">
        <v>17</v>
      </c>
      <c r="D277">
        <v>872625</v>
      </c>
      <c r="E277" t="s">
        <v>172</v>
      </c>
      <c r="F277" t="s">
        <v>173</v>
      </c>
    </row>
    <row r="278" spans="1:6" x14ac:dyDescent="0.25">
      <c r="A278" s="1">
        <v>1</v>
      </c>
      <c r="B278" s="1">
        <v>277</v>
      </c>
      <c r="C278">
        <v>18</v>
      </c>
      <c r="D278">
        <v>9800</v>
      </c>
      <c r="E278" t="s">
        <v>172</v>
      </c>
      <c r="F278" t="s">
        <v>173</v>
      </c>
    </row>
    <row r="279" spans="1:6" x14ac:dyDescent="0.25">
      <c r="A279" s="1">
        <v>1</v>
      </c>
      <c r="B279" s="1">
        <v>278</v>
      </c>
      <c r="C279">
        <v>19</v>
      </c>
      <c r="D279">
        <v>305000</v>
      </c>
      <c r="E279" t="s">
        <v>172</v>
      </c>
      <c r="F279" t="s">
        <v>173</v>
      </c>
    </row>
    <row r="280" spans="1:6" x14ac:dyDescent="0.25">
      <c r="A280" s="1">
        <v>1</v>
      </c>
      <c r="B280" s="1">
        <v>279</v>
      </c>
      <c r="C280">
        <v>20</v>
      </c>
      <c r="D280">
        <v>750000</v>
      </c>
      <c r="E280" t="s">
        <v>172</v>
      </c>
      <c r="F280" t="s">
        <v>173</v>
      </c>
    </row>
    <row r="281" spans="1:6" x14ac:dyDescent="0.25">
      <c r="A281" s="1">
        <v>1</v>
      </c>
      <c r="B281" s="1">
        <v>280</v>
      </c>
      <c r="C281">
        <v>21</v>
      </c>
      <c r="D281">
        <v>7800</v>
      </c>
      <c r="E281" t="s">
        <v>172</v>
      </c>
      <c r="F281" t="s">
        <v>173</v>
      </c>
    </row>
    <row r="282" spans="1:6" x14ac:dyDescent="0.25">
      <c r="A282" s="1">
        <v>1</v>
      </c>
      <c r="B282" s="1">
        <v>281</v>
      </c>
      <c r="C282">
        <v>22</v>
      </c>
      <c r="D282">
        <v>359999</v>
      </c>
      <c r="E282" t="s">
        <v>172</v>
      </c>
      <c r="F282" t="s">
        <v>173</v>
      </c>
    </row>
    <row r="283" spans="1:6" x14ac:dyDescent="0.25">
      <c r="A283" s="1">
        <v>1</v>
      </c>
      <c r="B283" s="1">
        <v>282</v>
      </c>
      <c r="C283">
        <v>23</v>
      </c>
      <c r="D283">
        <v>828000</v>
      </c>
      <c r="E283" t="s">
        <v>172</v>
      </c>
      <c r="F283" t="s">
        <v>173</v>
      </c>
    </row>
    <row r="284" spans="1:6" x14ac:dyDescent="0.25">
      <c r="A284" s="1">
        <v>1</v>
      </c>
      <c r="B284" s="1">
        <v>283</v>
      </c>
      <c r="C284">
        <v>24</v>
      </c>
      <c r="D284">
        <v>9800</v>
      </c>
      <c r="E284" t="s">
        <v>172</v>
      </c>
      <c r="F284" t="s">
        <v>173</v>
      </c>
    </row>
    <row r="285" spans="1:6" x14ac:dyDescent="0.25">
      <c r="A285" s="1">
        <v>1</v>
      </c>
      <c r="B285" s="1">
        <v>284</v>
      </c>
      <c r="C285">
        <v>25</v>
      </c>
      <c r="D285">
        <v>153500</v>
      </c>
      <c r="E285" t="s">
        <v>172</v>
      </c>
      <c r="F285" t="s">
        <v>173</v>
      </c>
    </row>
    <row r="286" spans="1:6" x14ac:dyDescent="0.25">
      <c r="A286" s="1">
        <v>1</v>
      </c>
      <c r="B286" s="1">
        <v>285</v>
      </c>
      <c r="C286">
        <v>26</v>
      </c>
      <c r="D286">
        <v>578999</v>
      </c>
      <c r="E286" t="s">
        <v>172</v>
      </c>
      <c r="F286" t="s">
        <v>173</v>
      </c>
    </row>
    <row r="287" spans="1:6" x14ac:dyDescent="0.25">
      <c r="A287" s="1">
        <v>1</v>
      </c>
      <c r="B287" s="1">
        <v>286</v>
      </c>
      <c r="C287">
        <v>101</v>
      </c>
      <c r="D287">
        <v>13600</v>
      </c>
      <c r="E287" t="s">
        <v>172</v>
      </c>
      <c r="F287" t="s">
        <v>173</v>
      </c>
    </row>
    <row r="288" spans="1:6" x14ac:dyDescent="0.25">
      <c r="A288" s="1">
        <v>1</v>
      </c>
      <c r="B288" s="1">
        <v>287</v>
      </c>
      <c r="C288">
        <v>102</v>
      </c>
      <c r="D288">
        <v>19000</v>
      </c>
      <c r="E288" t="s">
        <v>172</v>
      </c>
      <c r="F288" t="s">
        <v>173</v>
      </c>
    </row>
    <row r="289" spans="1:6" x14ac:dyDescent="0.25">
      <c r="A289" s="1">
        <v>1</v>
      </c>
      <c r="B289" s="1">
        <v>288</v>
      </c>
      <c r="C289">
        <v>103</v>
      </c>
      <c r="D289">
        <v>86030</v>
      </c>
      <c r="E289" t="s">
        <v>172</v>
      </c>
      <c r="F289" t="s">
        <v>173</v>
      </c>
    </row>
    <row r="290" spans="1:6" x14ac:dyDescent="0.25">
      <c r="A290" s="1">
        <v>1</v>
      </c>
      <c r="B290" s="1">
        <v>289</v>
      </c>
      <c r="C290">
        <v>1</v>
      </c>
      <c r="D290">
        <v>39200</v>
      </c>
      <c r="E290" t="s">
        <v>172</v>
      </c>
      <c r="F290" t="s">
        <v>174</v>
      </c>
    </row>
    <row r="291" spans="1:6" x14ac:dyDescent="0.25">
      <c r="A291" s="1">
        <v>1</v>
      </c>
      <c r="B291" s="1">
        <v>290</v>
      </c>
      <c r="C291">
        <v>2</v>
      </c>
      <c r="D291">
        <v>11500</v>
      </c>
      <c r="E291" t="s">
        <v>172</v>
      </c>
      <c r="F291" t="s">
        <v>174</v>
      </c>
    </row>
    <row r="292" spans="1:6" x14ac:dyDescent="0.25">
      <c r="A292" s="1">
        <v>1</v>
      </c>
      <c r="B292" s="1">
        <v>291</v>
      </c>
      <c r="C292">
        <v>3</v>
      </c>
      <c r="D292">
        <v>111000</v>
      </c>
      <c r="E292" t="s">
        <v>172</v>
      </c>
      <c r="F292" t="s">
        <v>174</v>
      </c>
    </row>
    <row r="293" spans="1:6" x14ac:dyDescent="0.25">
      <c r="A293" s="1">
        <v>1</v>
      </c>
      <c r="B293" s="1">
        <v>292</v>
      </c>
      <c r="C293">
        <v>9</v>
      </c>
      <c r="D293">
        <v>10200</v>
      </c>
      <c r="E293" t="s">
        <v>172</v>
      </c>
      <c r="F293" t="s">
        <v>174</v>
      </c>
    </row>
    <row r="294" spans="1:6" x14ac:dyDescent="0.25">
      <c r="A294" s="1">
        <v>1</v>
      </c>
      <c r="B294" s="1">
        <v>293</v>
      </c>
      <c r="C294">
        <v>10</v>
      </c>
      <c r="D294">
        <v>450000</v>
      </c>
      <c r="E294" t="s">
        <v>172</v>
      </c>
      <c r="F294" t="s">
        <v>174</v>
      </c>
    </row>
    <row r="295" spans="1:6" x14ac:dyDescent="0.25">
      <c r="A295" s="1">
        <v>1</v>
      </c>
      <c r="B295" s="1">
        <v>294</v>
      </c>
      <c r="C295">
        <v>11</v>
      </c>
      <c r="D295">
        <v>807692</v>
      </c>
      <c r="E295" t="s">
        <v>172</v>
      </c>
      <c r="F295" t="s">
        <v>174</v>
      </c>
    </row>
    <row r="296" spans="1:6" x14ac:dyDescent="0.25">
      <c r="A296" s="1">
        <v>1</v>
      </c>
      <c r="B296" s="1">
        <v>295</v>
      </c>
      <c r="C296">
        <v>12</v>
      </c>
      <c r="D296">
        <v>7900</v>
      </c>
      <c r="E296" t="s">
        <v>172</v>
      </c>
      <c r="F296" t="s">
        <v>174</v>
      </c>
    </row>
    <row r="297" spans="1:6" x14ac:dyDescent="0.25">
      <c r="A297" s="1">
        <v>1</v>
      </c>
      <c r="B297" s="1">
        <v>296</v>
      </c>
      <c r="C297">
        <v>13</v>
      </c>
      <c r="D297">
        <v>44800</v>
      </c>
      <c r="E297" t="s">
        <v>172</v>
      </c>
      <c r="F297" t="s">
        <v>174</v>
      </c>
    </row>
    <row r="298" spans="1:6" x14ac:dyDescent="0.25">
      <c r="A298" s="1">
        <v>1</v>
      </c>
      <c r="B298" s="1">
        <v>297</v>
      </c>
      <c r="C298">
        <v>14</v>
      </c>
      <c r="D298">
        <v>750000</v>
      </c>
      <c r="E298" t="s">
        <v>172</v>
      </c>
      <c r="F298" t="s">
        <v>174</v>
      </c>
    </row>
    <row r="299" spans="1:6" x14ac:dyDescent="0.25">
      <c r="A299" s="1">
        <v>1</v>
      </c>
      <c r="B299" s="1">
        <v>298</v>
      </c>
      <c r="C299">
        <v>15</v>
      </c>
      <c r="D299">
        <v>9000</v>
      </c>
      <c r="E299" t="s">
        <v>172</v>
      </c>
      <c r="F299" t="s">
        <v>174</v>
      </c>
    </row>
    <row r="300" spans="1:6" x14ac:dyDescent="0.25">
      <c r="A300" s="1">
        <v>1</v>
      </c>
      <c r="B300" s="1">
        <v>299</v>
      </c>
      <c r="C300">
        <v>16</v>
      </c>
      <c r="D300">
        <v>138500</v>
      </c>
      <c r="E300" t="s">
        <v>172</v>
      </c>
      <c r="F300" t="s">
        <v>174</v>
      </c>
    </row>
    <row r="301" spans="1:6" x14ac:dyDescent="0.25">
      <c r="A301" s="1">
        <v>1</v>
      </c>
      <c r="B301" s="1">
        <v>300</v>
      </c>
      <c r="C301">
        <v>17</v>
      </c>
      <c r="D301">
        <v>872625</v>
      </c>
      <c r="E301" t="s">
        <v>172</v>
      </c>
      <c r="F301" t="s">
        <v>174</v>
      </c>
    </row>
    <row r="302" spans="1:6" x14ac:dyDescent="0.25">
      <c r="A302" s="1">
        <v>1</v>
      </c>
      <c r="B302" s="1">
        <v>301</v>
      </c>
      <c r="C302">
        <v>18</v>
      </c>
      <c r="D302">
        <v>9600</v>
      </c>
      <c r="E302" t="s">
        <v>172</v>
      </c>
      <c r="F302" t="s">
        <v>174</v>
      </c>
    </row>
    <row r="303" spans="1:6" x14ac:dyDescent="0.25">
      <c r="A303" s="1">
        <v>1</v>
      </c>
      <c r="B303" s="1">
        <v>302</v>
      </c>
      <c r="C303">
        <v>19</v>
      </c>
      <c r="D303">
        <v>150000</v>
      </c>
      <c r="E303" t="s">
        <v>172</v>
      </c>
      <c r="F303" t="s">
        <v>174</v>
      </c>
    </row>
    <row r="304" spans="1:6" x14ac:dyDescent="0.25">
      <c r="A304" s="1">
        <v>1</v>
      </c>
      <c r="B304" s="1">
        <v>303</v>
      </c>
      <c r="C304">
        <v>20</v>
      </c>
      <c r="D304">
        <v>750000</v>
      </c>
      <c r="E304" t="s">
        <v>172</v>
      </c>
      <c r="F304" t="s">
        <v>174</v>
      </c>
    </row>
    <row r="305" spans="1:6" x14ac:dyDescent="0.25">
      <c r="A305" s="1">
        <v>1</v>
      </c>
      <c r="B305" s="1">
        <v>304</v>
      </c>
      <c r="C305">
        <v>21</v>
      </c>
      <c r="D305">
        <v>7200</v>
      </c>
      <c r="E305" t="s">
        <v>172</v>
      </c>
      <c r="F305" t="s">
        <v>174</v>
      </c>
    </row>
    <row r="306" spans="1:6" x14ac:dyDescent="0.25">
      <c r="A306" s="1">
        <v>1</v>
      </c>
      <c r="B306" s="1">
        <v>305</v>
      </c>
      <c r="C306">
        <v>22</v>
      </c>
      <c r="D306">
        <v>309000</v>
      </c>
      <c r="E306" t="s">
        <v>172</v>
      </c>
      <c r="F306" t="s">
        <v>174</v>
      </c>
    </row>
    <row r="307" spans="1:6" x14ac:dyDescent="0.25">
      <c r="A307" s="1">
        <v>1</v>
      </c>
      <c r="B307" s="1">
        <v>306</v>
      </c>
      <c r="C307">
        <v>23</v>
      </c>
      <c r="D307">
        <v>828000</v>
      </c>
      <c r="E307" t="s">
        <v>172</v>
      </c>
      <c r="F307" t="s">
        <v>174</v>
      </c>
    </row>
    <row r="308" spans="1:6" x14ac:dyDescent="0.25">
      <c r="A308" s="1">
        <v>1</v>
      </c>
      <c r="B308" s="1">
        <v>307</v>
      </c>
      <c r="C308">
        <v>24</v>
      </c>
      <c r="D308">
        <v>9900</v>
      </c>
      <c r="E308" t="s">
        <v>172</v>
      </c>
      <c r="F308" t="s">
        <v>174</v>
      </c>
    </row>
    <row r="309" spans="1:6" x14ac:dyDescent="0.25">
      <c r="A309" s="1">
        <v>1</v>
      </c>
      <c r="B309" s="1">
        <v>308</v>
      </c>
      <c r="C309">
        <v>25</v>
      </c>
      <c r="D309">
        <v>152000</v>
      </c>
      <c r="E309" t="s">
        <v>172</v>
      </c>
      <c r="F309" t="s">
        <v>174</v>
      </c>
    </row>
    <row r="310" spans="1:6" x14ac:dyDescent="0.25">
      <c r="A310" s="1">
        <v>1</v>
      </c>
      <c r="B310" s="1">
        <v>309</v>
      </c>
      <c r="C310">
        <v>26</v>
      </c>
      <c r="D310">
        <v>578999</v>
      </c>
      <c r="E310" t="s">
        <v>172</v>
      </c>
      <c r="F310" t="s">
        <v>174</v>
      </c>
    </row>
    <row r="311" spans="1:6" x14ac:dyDescent="0.25">
      <c r="A311" s="1">
        <v>1</v>
      </c>
      <c r="B311" s="1">
        <v>310</v>
      </c>
      <c r="C311">
        <v>101</v>
      </c>
      <c r="D311">
        <v>13600</v>
      </c>
      <c r="E311" t="s">
        <v>172</v>
      </c>
      <c r="F311" t="s">
        <v>174</v>
      </c>
    </row>
    <row r="312" spans="1:6" x14ac:dyDescent="0.25">
      <c r="A312" s="1">
        <v>1</v>
      </c>
      <c r="B312" s="1">
        <v>311</v>
      </c>
      <c r="C312">
        <v>102</v>
      </c>
      <c r="D312">
        <v>19000</v>
      </c>
      <c r="E312" t="s">
        <v>172</v>
      </c>
      <c r="F312" t="s">
        <v>174</v>
      </c>
    </row>
    <row r="313" spans="1:6" x14ac:dyDescent="0.25">
      <c r="A313" s="1">
        <v>1</v>
      </c>
      <c r="B313" s="1">
        <v>312</v>
      </c>
      <c r="C313">
        <v>103</v>
      </c>
      <c r="D313">
        <v>86030</v>
      </c>
      <c r="E313" t="s">
        <v>172</v>
      </c>
      <c r="F313" t="s">
        <v>174</v>
      </c>
    </row>
    <row r="314" spans="1:6" x14ac:dyDescent="0.25">
      <c r="A314" s="1">
        <v>1</v>
      </c>
      <c r="B314" s="1">
        <v>313</v>
      </c>
      <c r="C314">
        <v>1</v>
      </c>
      <c r="D314">
        <v>11800</v>
      </c>
      <c r="E314" t="s">
        <v>175</v>
      </c>
      <c r="F314" t="s">
        <v>176</v>
      </c>
    </row>
    <row r="315" spans="1:6" x14ac:dyDescent="0.25">
      <c r="A315" s="1">
        <v>1</v>
      </c>
      <c r="B315" s="1">
        <v>314</v>
      </c>
      <c r="C315">
        <v>2</v>
      </c>
      <c r="D315">
        <v>9900</v>
      </c>
      <c r="E315" t="s">
        <v>175</v>
      </c>
      <c r="F315" t="s">
        <v>176</v>
      </c>
    </row>
    <row r="316" spans="1:6" x14ac:dyDescent="0.25">
      <c r="A316" s="1">
        <v>1</v>
      </c>
      <c r="B316" s="1">
        <v>315</v>
      </c>
      <c r="C316">
        <v>3</v>
      </c>
      <c r="D316">
        <v>90000</v>
      </c>
      <c r="E316" t="s">
        <v>175</v>
      </c>
      <c r="F316" t="s">
        <v>176</v>
      </c>
    </row>
    <row r="317" spans="1:6" x14ac:dyDescent="0.25">
      <c r="A317" s="1">
        <v>1</v>
      </c>
      <c r="B317" s="1">
        <v>316</v>
      </c>
      <c r="C317">
        <v>9</v>
      </c>
      <c r="D317">
        <v>4500</v>
      </c>
      <c r="E317" t="s">
        <v>175</v>
      </c>
      <c r="F317" t="s">
        <v>176</v>
      </c>
    </row>
    <row r="318" spans="1:6" x14ac:dyDescent="0.25">
      <c r="A318" s="1">
        <v>1</v>
      </c>
      <c r="B318" s="1">
        <v>317</v>
      </c>
      <c r="C318">
        <v>10</v>
      </c>
      <c r="D318">
        <v>448000</v>
      </c>
      <c r="E318" t="s">
        <v>175</v>
      </c>
      <c r="F318" t="s">
        <v>176</v>
      </c>
    </row>
    <row r="319" spans="1:6" x14ac:dyDescent="0.25">
      <c r="A319" s="1">
        <v>1</v>
      </c>
      <c r="B319" s="1">
        <v>318</v>
      </c>
      <c r="C319">
        <v>11</v>
      </c>
      <c r="D319">
        <v>807692</v>
      </c>
      <c r="E319" t="s">
        <v>175</v>
      </c>
      <c r="F319" t="s">
        <v>176</v>
      </c>
    </row>
    <row r="320" spans="1:6" x14ac:dyDescent="0.25">
      <c r="A320" s="1">
        <v>1</v>
      </c>
      <c r="B320" s="1">
        <v>319</v>
      </c>
      <c r="C320">
        <v>12</v>
      </c>
      <c r="D320">
        <v>116500</v>
      </c>
      <c r="E320" t="s">
        <v>175</v>
      </c>
      <c r="F320" t="s">
        <v>176</v>
      </c>
    </row>
    <row r="321" spans="1:6" x14ac:dyDescent="0.25">
      <c r="A321" s="1">
        <v>1</v>
      </c>
      <c r="B321" s="1">
        <v>320</v>
      </c>
      <c r="C321">
        <v>13</v>
      </c>
      <c r="D321">
        <v>44800</v>
      </c>
      <c r="E321" t="s">
        <v>175</v>
      </c>
      <c r="F321" t="s">
        <v>176</v>
      </c>
    </row>
    <row r="322" spans="1:6" x14ac:dyDescent="0.25">
      <c r="A322" s="1">
        <v>1</v>
      </c>
      <c r="B322" s="1">
        <v>321</v>
      </c>
      <c r="C322">
        <v>14</v>
      </c>
      <c r="D322">
        <v>750000</v>
      </c>
      <c r="E322" t="s">
        <v>175</v>
      </c>
      <c r="F322" t="s">
        <v>176</v>
      </c>
    </row>
    <row r="323" spans="1:6" x14ac:dyDescent="0.25">
      <c r="A323" s="1">
        <v>1</v>
      </c>
      <c r="B323" s="1">
        <v>322</v>
      </c>
      <c r="C323">
        <v>15</v>
      </c>
      <c r="D323">
        <v>9000</v>
      </c>
      <c r="E323" t="s">
        <v>175</v>
      </c>
      <c r="F323" t="s">
        <v>176</v>
      </c>
    </row>
    <row r="324" spans="1:6" x14ac:dyDescent="0.25">
      <c r="A324" s="1">
        <v>1</v>
      </c>
      <c r="B324" s="1">
        <v>323</v>
      </c>
      <c r="C324">
        <v>16</v>
      </c>
      <c r="D324">
        <v>138500</v>
      </c>
      <c r="E324" t="s">
        <v>175</v>
      </c>
      <c r="F324" t="s">
        <v>176</v>
      </c>
    </row>
    <row r="325" spans="1:6" x14ac:dyDescent="0.25">
      <c r="A325" s="1">
        <v>1</v>
      </c>
      <c r="B325" s="1">
        <v>324</v>
      </c>
      <c r="C325">
        <v>17</v>
      </c>
      <c r="D325">
        <v>872625</v>
      </c>
      <c r="E325" t="s">
        <v>175</v>
      </c>
      <c r="F325" t="s">
        <v>176</v>
      </c>
    </row>
    <row r="326" spans="1:6" x14ac:dyDescent="0.25">
      <c r="A326" s="1">
        <v>1</v>
      </c>
      <c r="B326" s="1">
        <v>325</v>
      </c>
      <c r="C326">
        <v>18</v>
      </c>
      <c r="D326">
        <v>9700</v>
      </c>
      <c r="E326" t="s">
        <v>175</v>
      </c>
      <c r="F326" t="s">
        <v>176</v>
      </c>
    </row>
    <row r="327" spans="1:6" x14ac:dyDescent="0.25">
      <c r="A327" s="1">
        <v>1</v>
      </c>
      <c r="B327" s="1">
        <v>326</v>
      </c>
      <c r="C327">
        <v>19</v>
      </c>
      <c r="D327">
        <v>472000</v>
      </c>
      <c r="E327" t="s">
        <v>175</v>
      </c>
      <c r="F327" t="s">
        <v>176</v>
      </c>
    </row>
    <row r="328" spans="1:6" x14ac:dyDescent="0.25">
      <c r="A328" s="1">
        <v>1</v>
      </c>
      <c r="B328" s="1">
        <v>327</v>
      </c>
      <c r="C328">
        <v>20</v>
      </c>
      <c r="D328">
        <v>750000</v>
      </c>
      <c r="E328" t="s">
        <v>175</v>
      </c>
      <c r="F328" t="s">
        <v>176</v>
      </c>
    </row>
    <row r="329" spans="1:6" x14ac:dyDescent="0.25">
      <c r="A329" s="1">
        <v>1</v>
      </c>
      <c r="B329" s="1">
        <v>328</v>
      </c>
      <c r="C329">
        <v>21</v>
      </c>
      <c r="D329">
        <v>6900</v>
      </c>
      <c r="E329" t="s">
        <v>175</v>
      </c>
      <c r="F329" t="s">
        <v>176</v>
      </c>
    </row>
    <row r="330" spans="1:6" x14ac:dyDescent="0.25">
      <c r="A330" s="1">
        <v>1</v>
      </c>
      <c r="B330" s="1">
        <v>329</v>
      </c>
      <c r="C330">
        <v>22</v>
      </c>
      <c r="D330">
        <v>310000</v>
      </c>
      <c r="E330" t="s">
        <v>175</v>
      </c>
      <c r="F330" t="s">
        <v>176</v>
      </c>
    </row>
    <row r="331" spans="1:6" x14ac:dyDescent="0.25">
      <c r="A331" s="1">
        <v>1</v>
      </c>
      <c r="B331" s="1">
        <v>330</v>
      </c>
      <c r="C331">
        <v>23</v>
      </c>
      <c r="D331">
        <v>828000</v>
      </c>
      <c r="E331" t="s">
        <v>175</v>
      </c>
      <c r="F331" t="s">
        <v>176</v>
      </c>
    </row>
    <row r="332" spans="1:6" x14ac:dyDescent="0.25">
      <c r="A332" s="1">
        <v>1</v>
      </c>
      <c r="B332" s="1">
        <v>331</v>
      </c>
      <c r="C332">
        <v>24</v>
      </c>
      <c r="D332">
        <v>18500</v>
      </c>
      <c r="E332" t="s">
        <v>175</v>
      </c>
      <c r="F332" t="s">
        <v>176</v>
      </c>
    </row>
    <row r="333" spans="1:6" x14ac:dyDescent="0.25">
      <c r="A333" s="1">
        <v>1</v>
      </c>
      <c r="B333" s="1">
        <v>332</v>
      </c>
      <c r="C333">
        <v>25</v>
      </c>
      <c r="D333">
        <v>90000</v>
      </c>
      <c r="E333" t="s">
        <v>175</v>
      </c>
      <c r="F333" t="s">
        <v>176</v>
      </c>
    </row>
    <row r="334" spans="1:6" x14ac:dyDescent="0.25">
      <c r="A334" s="1">
        <v>1</v>
      </c>
      <c r="B334" s="1">
        <v>333</v>
      </c>
      <c r="C334">
        <v>26</v>
      </c>
      <c r="D334">
        <v>578999</v>
      </c>
      <c r="E334" t="s">
        <v>175</v>
      </c>
      <c r="F334" t="s">
        <v>176</v>
      </c>
    </row>
    <row r="335" spans="1:6" x14ac:dyDescent="0.25">
      <c r="A335" s="1">
        <v>1</v>
      </c>
      <c r="B335" s="1">
        <v>334</v>
      </c>
      <c r="C335">
        <v>101</v>
      </c>
      <c r="D335">
        <v>13600</v>
      </c>
      <c r="E335" t="s">
        <v>175</v>
      </c>
      <c r="F335" t="s">
        <v>176</v>
      </c>
    </row>
    <row r="336" spans="1:6" x14ac:dyDescent="0.25">
      <c r="A336" s="1">
        <v>1</v>
      </c>
      <c r="B336" s="1">
        <v>335</v>
      </c>
      <c r="C336">
        <v>102</v>
      </c>
      <c r="D336">
        <v>19000</v>
      </c>
      <c r="E336" t="s">
        <v>175</v>
      </c>
      <c r="F336" t="s">
        <v>176</v>
      </c>
    </row>
    <row r="337" spans="1:6" x14ac:dyDescent="0.25">
      <c r="A337" s="1">
        <v>1</v>
      </c>
      <c r="B337" s="1">
        <v>336</v>
      </c>
      <c r="C337">
        <v>103</v>
      </c>
      <c r="D337">
        <v>86030</v>
      </c>
      <c r="E337" t="s">
        <v>175</v>
      </c>
      <c r="F337" t="s">
        <v>176</v>
      </c>
    </row>
    <row r="338" spans="1:6" x14ac:dyDescent="0.25">
      <c r="A338" s="1">
        <v>1</v>
      </c>
      <c r="B338" s="1">
        <v>337</v>
      </c>
      <c r="C338">
        <v>1</v>
      </c>
      <c r="D338">
        <v>10800</v>
      </c>
      <c r="E338" t="s">
        <v>175</v>
      </c>
      <c r="F338" t="s">
        <v>235</v>
      </c>
    </row>
    <row r="339" spans="1:6" x14ac:dyDescent="0.25">
      <c r="A339" s="1">
        <v>1</v>
      </c>
      <c r="B339" s="1">
        <v>338</v>
      </c>
      <c r="C339">
        <v>2</v>
      </c>
      <c r="D339">
        <v>9300</v>
      </c>
      <c r="E339" t="s">
        <v>175</v>
      </c>
      <c r="F339" t="s">
        <v>235</v>
      </c>
    </row>
    <row r="340" spans="1:6" x14ac:dyDescent="0.25">
      <c r="A340" s="1">
        <v>1</v>
      </c>
      <c r="B340" s="1">
        <v>339</v>
      </c>
      <c r="C340">
        <v>3</v>
      </c>
      <c r="D340">
        <v>89000</v>
      </c>
      <c r="E340" t="s">
        <v>175</v>
      </c>
      <c r="F340" t="s">
        <v>235</v>
      </c>
    </row>
    <row r="341" spans="1:6" x14ac:dyDescent="0.25">
      <c r="A341" s="1">
        <v>1</v>
      </c>
      <c r="B341" s="1">
        <v>340</v>
      </c>
      <c r="C341">
        <v>9</v>
      </c>
      <c r="D341">
        <v>10000</v>
      </c>
      <c r="E341" t="s">
        <v>175</v>
      </c>
      <c r="F341" t="s">
        <v>235</v>
      </c>
    </row>
    <row r="342" spans="1:6" x14ac:dyDescent="0.25">
      <c r="A342" s="1">
        <v>1</v>
      </c>
      <c r="B342" s="1">
        <v>341</v>
      </c>
      <c r="C342">
        <v>10</v>
      </c>
      <c r="D342">
        <v>449000</v>
      </c>
      <c r="E342" t="s">
        <v>175</v>
      </c>
      <c r="F342" t="s">
        <v>235</v>
      </c>
    </row>
    <row r="343" spans="1:6" x14ac:dyDescent="0.25">
      <c r="A343" s="1">
        <v>1</v>
      </c>
      <c r="B343" s="1">
        <v>342</v>
      </c>
      <c r="C343">
        <v>11</v>
      </c>
      <c r="D343">
        <v>807692</v>
      </c>
      <c r="E343" t="s">
        <v>175</v>
      </c>
      <c r="F343" t="s">
        <v>235</v>
      </c>
    </row>
    <row r="344" spans="1:6" x14ac:dyDescent="0.25">
      <c r="A344" s="1">
        <v>1</v>
      </c>
      <c r="B344" s="1">
        <v>343</v>
      </c>
      <c r="C344">
        <v>12</v>
      </c>
      <c r="D344">
        <v>15000</v>
      </c>
      <c r="E344" t="s">
        <v>175</v>
      </c>
      <c r="F344" t="s">
        <v>235</v>
      </c>
    </row>
    <row r="345" spans="1:6" x14ac:dyDescent="0.25">
      <c r="A345" s="1">
        <v>1</v>
      </c>
      <c r="B345" s="1">
        <v>344</v>
      </c>
      <c r="C345">
        <v>13</v>
      </c>
      <c r="D345">
        <v>44800</v>
      </c>
      <c r="E345" t="s">
        <v>175</v>
      </c>
      <c r="F345" t="s">
        <v>235</v>
      </c>
    </row>
    <row r="346" spans="1:6" x14ac:dyDescent="0.25">
      <c r="A346" s="1">
        <v>1</v>
      </c>
      <c r="B346" s="1">
        <v>345</v>
      </c>
      <c r="C346">
        <v>14</v>
      </c>
      <c r="D346">
        <v>750000</v>
      </c>
      <c r="E346" t="s">
        <v>175</v>
      </c>
      <c r="F346" t="s">
        <v>235</v>
      </c>
    </row>
    <row r="347" spans="1:6" x14ac:dyDescent="0.25">
      <c r="A347" s="1">
        <v>1</v>
      </c>
      <c r="B347" s="1">
        <v>346</v>
      </c>
      <c r="C347">
        <v>15</v>
      </c>
      <c r="D347">
        <v>9000</v>
      </c>
      <c r="E347" t="s">
        <v>175</v>
      </c>
      <c r="F347" t="s">
        <v>235</v>
      </c>
    </row>
    <row r="348" spans="1:6" x14ac:dyDescent="0.25">
      <c r="A348" s="1">
        <v>1</v>
      </c>
      <c r="B348" s="1">
        <v>347</v>
      </c>
      <c r="C348">
        <v>16</v>
      </c>
      <c r="D348">
        <v>138500</v>
      </c>
      <c r="E348" t="s">
        <v>175</v>
      </c>
      <c r="F348" t="s">
        <v>235</v>
      </c>
    </row>
    <row r="349" spans="1:6" x14ac:dyDescent="0.25">
      <c r="A349" s="1">
        <v>1</v>
      </c>
      <c r="B349" s="1">
        <v>348</v>
      </c>
      <c r="C349">
        <v>17</v>
      </c>
      <c r="D349">
        <v>872625</v>
      </c>
      <c r="E349" t="s">
        <v>175</v>
      </c>
      <c r="F349" t="s">
        <v>235</v>
      </c>
    </row>
    <row r="350" spans="1:6" x14ac:dyDescent="0.25">
      <c r="A350" s="1">
        <v>1</v>
      </c>
      <c r="B350" s="1">
        <v>349</v>
      </c>
      <c r="C350">
        <v>18</v>
      </c>
      <c r="D350">
        <v>9300</v>
      </c>
      <c r="E350" t="s">
        <v>175</v>
      </c>
      <c r="F350" t="s">
        <v>235</v>
      </c>
    </row>
    <row r="351" spans="1:6" x14ac:dyDescent="0.25">
      <c r="A351" s="1">
        <v>1</v>
      </c>
      <c r="B351" s="1">
        <v>350</v>
      </c>
      <c r="C351">
        <v>19</v>
      </c>
      <c r="D351">
        <v>408000</v>
      </c>
      <c r="E351" t="s">
        <v>175</v>
      </c>
      <c r="F351" t="s">
        <v>235</v>
      </c>
    </row>
    <row r="352" spans="1:6" x14ac:dyDescent="0.25">
      <c r="A352" s="1">
        <v>1</v>
      </c>
      <c r="B352" s="1">
        <v>351</v>
      </c>
      <c r="C352">
        <v>20</v>
      </c>
      <c r="D352">
        <v>750000</v>
      </c>
      <c r="E352" t="s">
        <v>175</v>
      </c>
      <c r="F352" t="s">
        <v>235</v>
      </c>
    </row>
    <row r="353" spans="1:6" x14ac:dyDescent="0.25">
      <c r="A353" s="1">
        <v>1</v>
      </c>
      <c r="B353" s="1">
        <v>352</v>
      </c>
      <c r="C353">
        <v>21</v>
      </c>
      <c r="D353">
        <v>6700</v>
      </c>
      <c r="E353" t="s">
        <v>175</v>
      </c>
      <c r="F353" t="s">
        <v>235</v>
      </c>
    </row>
    <row r="354" spans="1:6" x14ac:dyDescent="0.25">
      <c r="A354" s="1">
        <v>1</v>
      </c>
      <c r="B354" s="1">
        <v>353</v>
      </c>
      <c r="C354">
        <v>22</v>
      </c>
      <c r="D354">
        <v>808000</v>
      </c>
      <c r="E354" t="s">
        <v>175</v>
      </c>
      <c r="F354" t="s">
        <v>235</v>
      </c>
    </row>
    <row r="355" spans="1:6" x14ac:dyDescent="0.25">
      <c r="A355" s="1">
        <v>1</v>
      </c>
      <c r="B355" s="1">
        <v>354</v>
      </c>
      <c r="C355">
        <v>23</v>
      </c>
      <c r="D355">
        <v>828000</v>
      </c>
      <c r="E355" t="s">
        <v>175</v>
      </c>
      <c r="F355" t="s">
        <v>235</v>
      </c>
    </row>
    <row r="356" spans="1:6" x14ac:dyDescent="0.25">
      <c r="A356" s="1">
        <v>1</v>
      </c>
      <c r="B356" s="1">
        <v>355</v>
      </c>
      <c r="C356">
        <v>24</v>
      </c>
      <c r="D356">
        <v>18200</v>
      </c>
      <c r="E356" t="s">
        <v>175</v>
      </c>
      <c r="F356" t="s">
        <v>235</v>
      </c>
    </row>
    <row r="357" spans="1:6" x14ac:dyDescent="0.25">
      <c r="A357" s="1">
        <v>1</v>
      </c>
      <c r="B357" s="1">
        <v>356</v>
      </c>
      <c r="C357">
        <v>25</v>
      </c>
      <c r="D357">
        <v>89000</v>
      </c>
      <c r="E357" t="s">
        <v>175</v>
      </c>
      <c r="F357" t="s">
        <v>235</v>
      </c>
    </row>
    <row r="358" spans="1:6" x14ac:dyDescent="0.25">
      <c r="A358" s="1">
        <v>1</v>
      </c>
      <c r="B358" s="1">
        <v>357</v>
      </c>
      <c r="C358">
        <v>26</v>
      </c>
      <c r="D358">
        <v>578999</v>
      </c>
      <c r="E358" t="s">
        <v>175</v>
      </c>
      <c r="F358" t="s">
        <v>235</v>
      </c>
    </row>
    <row r="359" spans="1:6" x14ac:dyDescent="0.25">
      <c r="A359" s="1">
        <v>1</v>
      </c>
      <c r="B359" s="1">
        <v>358</v>
      </c>
      <c r="C359">
        <v>101</v>
      </c>
      <c r="D359">
        <v>13600</v>
      </c>
      <c r="E359" t="s">
        <v>175</v>
      </c>
      <c r="F359" t="s">
        <v>235</v>
      </c>
    </row>
    <row r="360" spans="1:6" x14ac:dyDescent="0.25">
      <c r="A360" s="1">
        <v>1</v>
      </c>
      <c r="B360" s="1">
        <v>359</v>
      </c>
      <c r="C360">
        <v>102</v>
      </c>
      <c r="D360">
        <v>19000</v>
      </c>
      <c r="E360" t="s">
        <v>175</v>
      </c>
      <c r="F360" t="s">
        <v>235</v>
      </c>
    </row>
    <row r="361" spans="1:6" x14ac:dyDescent="0.25">
      <c r="A361" s="1">
        <v>1</v>
      </c>
      <c r="B361" s="1">
        <v>360</v>
      </c>
      <c r="C361">
        <v>103</v>
      </c>
      <c r="D361">
        <v>86030</v>
      </c>
      <c r="E361" t="s">
        <v>175</v>
      </c>
      <c r="F361" t="s">
        <v>235</v>
      </c>
    </row>
    <row r="362" spans="1:6" x14ac:dyDescent="0.25">
      <c r="A362" s="1">
        <v>1</v>
      </c>
      <c r="B362" s="1">
        <v>361</v>
      </c>
      <c r="C362">
        <v>1</v>
      </c>
      <c r="D362">
        <v>11000</v>
      </c>
      <c r="E362" t="s">
        <v>237</v>
      </c>
      <c r="F362" t="s">
        <v>238</v>
      </c>
    </row>
    <row r="363" spans="1:6" x14ac:dyDescent="0.25">
      <c r="A363" s="1">
        <v>1</v>
      </c>
      <c r="B363" s="1">
        <v>362</v>
      </c>
      <c r="C363">
        <v>2</v>
      </c>
      <c r="D363">
        <v>9899</v>
      </c>
      <c r="E363" t="s">
        <v>237</v>
      </c>
      <c r="F363" t="s">
        <v>238</v>
      </c>
    </row>
    <row r="364" spans="1:6" x14ac:dyDescent="0.25">
      <c r="A364" s="1">
        <v>1</v>
      </c>
      <c r="B364" s="1">
        <v>363</v>
      </c>
      <c r="C364">
        <v>3</v>
      </c>
      <c r="D364">
        <v>94500</v>
      </c>
      <c r="E364" t="s">
        <v>237</v>
      </c>
      <c r="F364" t="s">
        <v>238</v>
      </c>
    </row>
    <row r="365" spans="1:6" x14ac:dyDescent="0.25">
      <c r="A365" s="1">
        <v>1</v>
      </c>
      <c r="B365" s="1">
        <v>364</v>
      </c>
      <c r="C365">
        <v>9</v>
      </c>
      <c r="D365">
        <v>9099</v>
      </c>
      <c r="E365" t="s">
        <v>237</v>
      </c>
      <c r="F365" t="s">
        <v>238</v>
      </c>
    </row>
    <row r="366" spans="1:6" x14ac:dyDescent="0.25">
      <c r="A366" s="1">
        <v>1</v>
      </c>
      <c r="B366" s="1">
        <v>365</v>
      </c>
      <c r="C366">
        <v>10</v>
      </c>
      <c r="D366">
        <v>389999</v>
      </c>
      <c r="E366" t="s">
        <v>237</v>
      </c>
      <c r="F366" t="s">
        <v>238</v>
      </c>
    </row>
    <row r="367" spans="1:6" x14ac:dyDescent="0.25">
      <c r="A367" s="1">
        <v>1</v>
      </c>
      <c r="B367" s="1">
        <v>366</v>
      </c>
      <c r="C367">
        <v>11</v>
      </c>
      <c r="D367">
        <v>807692</v>
      </c>
      <c r="E367" t="s">
        <v>237</v>
      </c>
      <c r="F367" t="s">
        <v>238</v>
      </c>
    </row>
    <row r="368" spans="1:6" x14ac:dyDescent="0.25">
      <c r="A368" s="1">
        <v>1</v>
      </c>
      <c r="B368" s="1">
        <v>367</v>
      </c>
      <c r="C368">
        <v>12</v>
      </c>
      <c r="D368">
        <v>14450</v>
      </c>
      <c r="E368" t="s">
        <v>237</v>
      </c>
      <c r="F368" t="s">
        <v>238</v>
      </c>
    </row>
    <row r="369" spans="1:6" x14ac:dyDescent="0.25">
      <c r="A369" s="1">
        <v>1</v>
      </c>
      <c r="B369" s="1">
        <v>368</v>
      </c>
      <c r="C369">
        <v>13</v>
      </c>
      <c r="D369">
        <v>44800</v>
      </c>
      <c r="E369" t="s">
        <v>237</v>
      </c>
      <c r="F369" t="s">
        <v>238</v>
      </c>
    </row>
    <row r="370" spans="1:6" x14ac:dyDescent="0.25">
      <c r="A370" s="1">
        <v>1</v>
      </c>
      <c r="B370" s="1">
        <v>369</v>
      </c>
      <c r="C370">
        <v>14</v>
      </c>
      <c r="D370">
        <v>750000</v>
      </c>
      <c r="E370" t="s">
        <v>237</v>
      </c>
      <c r="F370" t="s">
        <v>238</v>
      </c>
    </row>
    <row r="371" spans="1:6" x14ac:dyDescent="0.25">
      <c r="A371" s="1">
        <v>1</v>
      </c>
      <c r="B371" s="1">
        <v>370</v>
      </c>
      <c r="C371">
        <v>15</v>
      </c>
      <c r="D371">
        <v>9000</v>
      </c>
      <c r="E371" t="s">
        <v>237</v>
      </c>
      <c r="F371" t="s">
        <v>238</v>
      </c>
    </row>
    <row r="372" spans="1:6" x14ac:dyDescent="0.25">
      <c r="A372" s="1">
        <v>1</v>
      </c>
      <c r="B372" s="1">
        <v>371</v>
      </c>
      <c r="C372">
        <v>16</v>
      </c>
      <c r="D372">
        <v>138500</v>
      </c>
      <c r="E372" t="s">
        <v>237</v>
      </c>
      <c r="F372" t="s">
        <v>238</v>
      </c>
    </row>
    <row r="373" spans="1:6" x14ac:dyDescent="0.25">
      <c r="A373" s="1">
        <v>1</v>
      </c>
      <c r="B373" s="1">
        <v>372</v>
      </c>
      <c r="C373">
        <v>17</v>
      </c>
      <c r="D373">
        <v>872625</v>
      </c>
      <c r="E373" t="s">
        <v>237</v>
      </c>
      <c r="F373" t="s">
        <v>238</v>
      </c>
    </row>
    <row r="374" spans="1:6" x14ac:dyDescent="0.25">
      <c r="A374" s="1">
        <v>1</v>
      </c>
      <c r="B374" s="1">
        <v>373</v>
      </c>
      <c r="C374">
        <v>18</v>
      </c>
      <c r="D374">
        <v>9100</v>
      </c>
      <c r="E374" t="s">
        <v>237</v>
      </c>
      <c r="F374" t="s">
        <v>238</v>
      </c>
    </row>
    <row r="375" spans="1:6" x14ac:dyDescent="0.25">
      <c r="A375" s="1">
        <v>1</v>
      </c>
      <c r="B375" s="1">
        <v>374</v>
      </c>
      <c r="C375">
        <v>19</v>
      </c>
      <c r="D375">
        <v>399899</v>
      </c>
      <c r="E375" t="s">
        <v>237</v>
      </c>
      <c r="F375" t="s">
        <v>238</v>
      </c>
    </row>
    <row r="376" spans="1:6" x14ac:dyDescent="0.25">
      <c r="A376" s="1">
        <v>1</v>
      </c>
      <c r="B376" s="1">
        <v>375</v>
      </c>
      <c r="C376">
        <v>20</v>
      </c>
      <c r="D376">
        <v>750000</v>
      </c>
      <c r="E376" t="s">
        <v>237</v>
      </c>
      <c r="F376" t="s">
        <v>238</v>
      </c>
    </row>
    <row r="377" spans="1:6" x14ac:dyDescent="0.25">
      <c r="A377" s="1">
        <v>1</v>
      </c>
      <c r="B377" s="1">
        <v>376</v>
      </c>
      <c r="C377">
        <v>21</v>
      </c>
      <c r="D377">
        <v>7499</v>
      </c>
      <c r="E377" t="s">
        <v>237</v>
      </c>
      <c r="F377" t="s">
        <v>238</v>
      </c>
    </row>
    <row r="378" spans="1:6" x14ac:dyDescent="0.25">
      <c r="A378" s="1">
        <v>1</v>
      </c>
      <c r="B378" s="1">
        <v>377</v>
      </c>
      <c r="C378">
        <v>22</v>
      </c>
      <c r="D378">
        <v>794999</v>
      </c>
      <c r="E378" t="s">
        <v>237</v>
      </c>
      <c r="F378" t="s">
        <v>238</v>
      </c>
    </row>
    <row r="379" spans="1:6" x14ac:dyDescent="0.25">
      <c r="A379" s="1">
        <v>1</v>
      </c>
      <c r="B379" s="1">
        <v>378</v>
      </c>
      <c r="C379">
        <v>23</v>
      </c>
      <c r="D379">
        <v>828000</v>
      </c>
      <c r="E379" t="s">
        <v>237</v>
      </c>
      <c r="F379" t="s">
        <v>238</v>
      </c>
    </row>
    <row r="380" spans="1:6" x14ac:dyDescent="0.25">
      <c r="A380" s="1">
        <v>1</v>
      </c>
      <c r="B380" s="1">
        <v>379</v>
      </c>
      <c r="C380">
        <v>24</v>
      </c>
      <c r="D380">
        <v>17000</v>
      </c>
      <c r="E380" t="s">
        <v>237</v>
      </c>
      <c r="F380" t="s">
        <v>238</v>
      </c>
    </row>
    <row r="381" spans="1:6" x14ac:dyDescent="0.25">
      <c r="A381" s="1">
        <v>1</v>
      </c>
      <c r="B381" s="1">
        <v>380</v>
      </c>
      <c r="C381">
        <v>25</v>
      </c>
      <c r="D381">
        <v>79499</v>
      </c>
      <c r="E381" t="s">
        <v>237</v>
      </c>
      <c r="F381" t="s">
        <v>238</v>
      </c>
    </row>
    <row r="382" spans="1:6" x14ac:dyDescent="0.25">
      <c r="A382" s="1">
        <v>1</v>
      </c>
      <c r="B382" s="1">
        <v>381</v>
      </c>
      <c r="C382">
        <v>26</v>
      </c>
      <c r="D382">
        <v>578999</v>
      </c>
      <c r="E382" t="s">
        <v>237</v>
      </c>
      <c r="F382" t="s">
        <v>238</v>
      </c>
    </row>
    <row r="383" spans="1:6" x14ac:dyDescent="0.25">
      <c r="A383" s="1">
        <v>1</v>
      </c>
      <c r="B383" s="1">
        <v>382</v>
      </c>
      <c r="C383">
        <v>101</v>
      </c>
      <c r="D383">
        <v>13600</v>
      </c>
      <c r="E383" t="s">
        <v>237</v>
      </c>
      <c r="F383" t="s">
        <v>238</v>
      </c>
    </row>
    <row r="384" spans="1:6" x14ac:dyDescent="0.25">
      <c r="A384" s="1">
        <v>1</v>
      </c>
      <c r="B384" s="1">
        <v>383</v>
      </c>
      <c r="C384">
        <v>102</v>
      </c>
      <c r="D384">
        <v>19000</v>
      </c>
      <c r="E384" t="s">
        <v>237</v>
      </c>
      <c r="F384" t="s">
        <v>238</v>
      </c>
    </row>
    <row r="385" spans="1:6" x14ac:dyDescent="0.25">
      <c r="A385" s="1">
        <v>1</v>
      </c>
      <c r="B385" s="1">
        <v>384</v>
      </c>
      <c r="C385">
        <v>103</v>
      </c>
      <c r="D385">
        <v>86030</v>
      </c>
      <c r="E385" t="s">
        <v>237</v>
      </c>
      <c r="F385" t="s">
        <v>238</v>
      </c>
    </row>
    <row r="386" spans="1:6" x14ac:dyDescent="0.25">
      <c r="A386" s="1">
        <v>1</v>
      </c>
      <c r="B386" s="1">
        <v>385</v>
      </c>
      <c r="C386">
        <v>1</v>
      </c>
      <c r="D386">
        <v>11000</v>
      </c>
      <c r="E386" t="s">
        <v>237</v>
      </c>
      <c r="F386" t="s">
        <v>239</v>
      </c>
    </row>
    <row r="387" spans="1:6" x14ac:dyDescent="0.25">
      <c r="A387" s="1">
        <v>1</v>
      </c>
      <c r="B387" s="1">
        <v>386</v>
      </c>
      <c r="C387">
        <v>2</v>
      </c>
      <c r="D387">
        <v>9700</v>
      </c>
      <c r="E387" t="s">
        <v>237</v>
      </c>
      <c r="F387" t="s">
        <v>239</v>
      </c>
    </row>
    <row r="388" spans="1:6" x14ac:dyDescent="0.25">
      <c r="A388" s="1">
        <v>1</v>
      </c>
      <c r="B388" s="1">
        <v>387</v>
      </c>
      <c r="C388">
        <v>3</v>
      </c>
      <c r="D388">
        <v>80000</v>
      </c>
      <c r="E388" t="s">
        <v>237</v>
      </c>
      <c r="F388" t="s">
        <v>239</v>
      </c>
    </row>
    <row r="389" spans="1:6" x14ac:dyDescent="0.25">
      <c r="A389" s="1">
        <v>1</v>
      </c>
      <c r="B389" s="1">
        <v>388</v>
      </c>
      <c r="C389">
        <v>9</v>
      </c>
      <c r="D389">
        <v>4900</v>
      </c>
      <c r="E389" t="s">
        <v>237</v>
      </c>
      <c r="F389" t="s">
        <v>239</v>
      </c>
    </row>
    <row r="390" spans="1:6" x14ac:dyDescent="0.25">
      <c r="A390" s="1">
        <v>1</v>
      </c>
      <c r="B390" s="1">
        <v>389</v>
      </c>
      <c r="C390">
        <v>10</v>
      </c>
      <c r="D390">
        <v>657000</v>
      </c>
      <c r="E390" t="s">
        <v>237</v>
      </c>
      <c r="F390" t="s">
        <v>239</v>
      </c>
    </row>
    <row r="391" spans="1:6" x14ac:dyDescent="0.25">
      <c r="A391" s="1">
        <v>1</v>
      </c>
      <c r="B391" s="1">
        <v>390</v>
      </c>
      <c r="C391">
        <v>11</v>
      </c>
      <c r="D391">
        <v>807692</v>
      </c>
      <c r="E391" t="s">
        <v>237</v>
      </c>
      <c r="F391" t="s">
        <v>239</v>
      </c>
    </row>
    <row r="392" spans="1:6" x14ac:dyDescent="0.25">
      <c r="A392" s="1">
        <v>1</v>
      </c>
      <c r="B392" s="1">
        <v>391</v>
      </c>
      <c r="C392">
        <v>12</v>
      </c>
      <c r="D392">
        <v>12000</v>
      </c>
      <c r="E392" t="s">
        <v>237</v>
      </c>
      <c r="F392" t="s">
        <v>239</v>
      </c>
    </row>
    <row r="393" spans="1:6" x14ac:dyDescent="0.25">
      <c r="A393" s="1">
        <v>1</v>
      </c>
      <c r="B393" s="1">
        <v>392</v>
      </c>
      <c r="C393">
        <v>13</v>
      </c>
      <c r="D393">
        <v>44800</v>
      </c>
      <c r="E393" t="s">
        <v>237</v>
      </c>
      <c r="F393" t="s">
        <v>239</v>
      </c>
    </row>
    <row r="394" spans="1:6" x14ac:dyDescent="0.25">
      <c r="A394" s="1">
        <v>1</v>
      </c>
      <c r="B394" s="1">
        <v>393</v>
      </c>
      <c r="C394">
        <v>14</v>
      </c>
      <c r="D394">
        <v>750000</v>
      </c>
      <c r="E394" t="s">
        <v>237</v>
      </c>
      <c r="F394" t="s">
        <v>239</v>
      </c>
    </row>
    <row r="395" spans="1:6" x14ac:dyDescent="0.25">
      <c r="A395" s="1">
        <v>1</v>
      </c>
      <c r="B395" s="1">
        <v>394</v>
      </c>
      <c r="C395">
        <v>15</v>
      </c>
      <c r="D395">
        <v>9000</v>
      </c>
      <c r="E395" t="s">
        <v>237</v>
      </c>
      <c r="F395" t="s">
        <v>239</v>
      </c>
    </row>
    <row r="396" spans="1:6" x14ac:dyDescent="0.25">
      <c r="A396" s="1">
        <v>1</v>
      </c>
      <c r="B396" s="1">
        <v>395</v>
      </c>
      <c r="C396">
        <v>16</v>
      </c>
      <c r="D396">
        <v>138500</v>
      </c>
      <c r="E396" t="s">
        <v>237</v>
      </c>
      <c r="F396" t="s">
        <v>239</v>
      </c>
    </row>
    <row r="397" spans="1:6" x14ac:dyDescent="0.25">
      <c r="A397" s="1">
        <v>1</v>
      </c>
      <c r="B397" s="1">
        <v>396</v>
      </c>
      <c r="C397">
        <v>17</v>
      </c>
      <c r="D397">
        <v>872625</v>
      </c>
      <c r="E397" t="s">
        <v>237</v>
      </c>
      <c r="F397" t="s">
        <v>239</v>
      </c>
    </row>
    <row r="398" spans="1:6" x14ac:dyDescent="0.25">
      <c r="A398" s="1">
        <v>1</v>
      </c>
      <c r="B398" s="1">
        <v>397</v>
      </c>
      <c r="C398">
        <v>18</v>
      </c>
      <c r="D398">
        <v>9000</v>
      </c>
      <c r="E398" t="s">
        <v>237</v>
      </c>
      <c r="F398" t="s">
        <v>239</v>
      </c>
    </row>
    <row r="399" spans="1:6" x14ac:dyDescent="0.25">
      <c r="A399" s="1">
        <v>1</v>
      </c>
      <c r="B399" s="1">
        <v>398</v>
      </c>
      <c r="C399">
        <v>19</v>
      </c>
      <c r="D399">
        <v>399000</v>
      </c>
      <c r="E399" t="s">
        <v>237</v>
      </c>
      <c r="F399" t="s">
        <v>239</v>
      </c>
    </row>
    <row r="400" spans="1:6" x14ac:dyDescent="0.25">
      <c r="A400" s="1">
        <v>1</v>
      </c>
      <c r="B400" s="1">
        <v>399</v>
      </c>
      <c r="C400">
        <v>20</v>
      </c>
      <c r="D400">
        <v>750000</v>
      </c>
      <c r="E400" t="s">
        <v>237</v>
      </c>
      <c r="F400" t="s">
        <v>239</v>
      </c>
    </row>
    <row r="401" spans="1:6" x14ac:dyDescent="0.25">
      <c r="A401" s="1">
        <v>1</v>
      </c>
      <c r="B401" s="1">
        <v>400</v>
      </c>
      <c r="C401">
        <v>21</v>
      </c>
      <c r="D401">
        <v>7300</v>
      </c>
      <c r="E401" t="s">
        <v>237</v>
      </c>
      <c r="F401" t="s">
        <v>239</v>
      </c>
    </row>
    <row r="402" spans="1:6" x14ac:dyDescent="0.25">
      <c r="A402" s="1">
        <v>1</v>
      </c>
      <c r="B402" s="1">
        <v>401</v>
      </c>
      <c r="C402">
        <v>22</v>
      </c>
      <c r="D402">
        <v>794999</v>
      </c>
      <c r="E402" t="s">
        <v>237</v>
      </c>
      <c r="F402" t="s">
        <v>239</v>
      </c>
    </row>
    <row r="403" spans="1:6" x14ac:dyDescent="0.25">
      <c r="A403" s="1">
        <v>1</v>
      </c>
      <c r="B403" s="1">
        <v>402</v>
      </c>
      <c r="C403">
        <v>23</v>
      </c>
      <c r="D403">
        <v>828000</v>
      </c>
      <c r="E403" t="s">
        <v>237</v>
      </c>
      <c r="F403" t="s">
        <v>239</v>
      </c>
    </row>
    <row r="404" spans="1:6" x14ac:dyDescent="0.25">
      <c r="A404" s="1">
        <v>1</v>
      </c>
      <c r="B404" s="1">
        <v>403</v>
      </c>
      <c r="C404">
        <v>24</v>
      </c>
      <c r="D404">
        <v>16600</v>
      </c>
      <c r="E404" t="s">
        <v>237</v>
      </c>
      <c r="F404" t="s">
        <v>239</v>
      </c>
    </row>
    <row r="405" spans="1:6" x14ac:dyDescent="0.25">
      <c r="A405" s="1">
        <v>1</v>
      </c>
      <c r="B405" s="1">
        <v>404</v>
      </c>
      <c r="C405">
        <v>25</v>
      </c>
      <c r="D405">
        <v>78999</v>
      </c>
      <c r="E405" t="s">
        <v>237</v>
      </c>
      <c r="F405" t="s">
        <v>239</v>
      </c>
    </row>
    <row r="406" spans="1:6" x14ac:dyDescent="0.25">
      <c r="A406" s="1">
        <v>1</v>
      </c>
      <c r="B406" s="1">
        <v>405</v>
      </c>
      <c r="C406">
        <v>26</v>
      </c>
      <c r="D406">
        <v>578999</v>
      </c>
      <c r="E406" t="s">
        <v>237</v>
      </c>
      <c r="F406" t="s">
        <v>239</v>
      </c>
    </row>
    <row r="407" spans="1:6" x14ac:dyDescent="0.25">
      <c r="A407" s="1">
        <v>1</v>
      </c>
      <c r="B407" s="1">
        <v>406</v>
      </c>
      <c r="C407">
        <v>101</v>
      </c>
      <c r="D407">
        <v>13600</v>
      </c>
      <c r="E407" t="s">
        <v>237</v>
      </c>
      <c r="F407" t="s">
        <v>239</v>
      </c>
    </row>
    <row r="408" spans="1:6" x14ac:dyDescent="0.25">
      <c r="A408" s="1">
        <v>1</v>
      </c>
      <c r="B408" s="1">
        <v>407</v>
      </c>
      <c r="C408">
        <v>102</v>
      </c>
      <c r="D408">
        <v>19000</v>
      </c>
      <c r="E408" t="s">
        <v>237</v>
      </c>
      <c r="F408" t="s">
        <v>239</v>
      </c>
    </row>
    <row r="409" spans="1:6" x14ac:dyDescent="0.25">
      <c r="A409" s="1">
        <v>1</v>
      </c>
      <c r="B409" s="1">
        <v>408</v>
      </c>
      <c r="C409">
        <v>103</v>
      </c>
      <c r="D409">
        <v>86030</v>
      </c>
      <c r="E409" t="s">
        <v>237</v>
      </c>
      <c r="F409" t="s">
        <v>239</v>
      </c>
    </row>
    <row r="410" spans="1:6" x14ac:dyDescent="0.25">
      <c r="A410" s="1">
        <v>1</v>
      </c>
      <c r="B410" s="1">
        <v>409</v>
      </c>
      <c r="C410">
        <v>1</v>
      </c>
      <c r="D410">
        <v>11500</v>
      </c>
      <c r="E410" t="s">
        <v>288</v>
      </c>
      <c r="F410" t="s">
        <v>289</v>
      </c>
    </row>
    <row r="411" spans="1:6" x14ac:dyDescent="0.25">
      <c r="A411" s="1">
        <v>1</v>
      </c>
      <c r="B411" s="1">
        <v>410</v>
      </c>
      <c r="C411">
        <v>2</v>
      </c>
      <c r="D411">
        <v>8300</v>
      </c>
      <c r="E411" t="s">
        <v>288</v>
      </c>
      <c r="F411" t="s">
        <v>289</v>
      </c>
    </row>
    <row r="412" spans="1:6" x14ac:dyDescent="0.25">
      <c r="A412" s="1">
        <v>1</v>
      </c>
      <c r="B412" s="1">
        <v>411</v>
      </c>
      <c r="C412">
        <v>3</v>
      </c>
      <c r="D412">
        <v>59000</v>
      </c>
      <c r="E412" t="s">
        <v>288</v>
      </c>
      <c r="F412" t="s">
        <v>289</v>
      </c>
    </row>
    <row r="413" spans="1:6" x14ac:dyDescent="0.25">
      <c r="A413" s="1">
        <v>1</v>
      </c>
      <c r="B413" s="1">
        <v>412</v>
      </c>
      <c r="C413">
        <v>9</v>
      </c>
      <c r="D413">
        <v>3700</v>
      </c>
      <c r="E413" t="s">
        <v>288</v>
      </c>
      <c r="F413" t="s">
        <v>289</v>
      </c>
    </row>
    <row r="414" spans="1:6" x14ac:dyDescent="0.25">
      <c r="A414" s="1">
        <v>1</v>
      </c>
      <c r="B414" s="1">
        <v>413</v>
      </c>
      <c r="C414">
        <v>10</v>
      </c>
      <c r="D414">
        <v>302000</v>
      </c>
      <c r="E414" t="s">
        <v>288</v>
      </c>
      <c r="F414" t="s">
        <v>289</v>
      </c>
    </row>
    <row r="415" spans="1:6" x14ac:dyDescent="0.25">
      <c r="A415" s="1">
        <v>1</v>
      </c>
      <c r="B415" s="1">
        <v>414</v>
      </c>
      <c r="C415">
        <v>11</v>
      </c>
      <c r="D415">
        <v>807692</v>
      </c>
      <c r="E415" t="s">
        <v>288</v>
      </c>
      <c r="F415" t="s">
        <v>289</v>
      </c>
    </row>
    <row r="416" spans="1:6" x14ac:dyDescent="0.25">
      <c r="A416" s="1">
        <v>1</v>
      </c>
      <c r="B416" s="1">
        <v>415</v>
      </c>
      <c r="C416">
        <v>12</v>
      </c>
      <c r="D416">
        <v>5400</v>
      </c>
      <c r="E416" t="s">
        <v>288</v>
      </c>
      <c r="F416" t="s">
        <v>289</v>
      </c>
    </row>
    <row r="417" spans="1:6" x14ac:dyDescent="0.25">
      <c r="A417" s="1">
        <v>1</v>
      </c>
      <c r="B417" s="1">
        <v>416</v>
      </c>
      <c r="C417">
        <v>13</v>
      </c>
      <c r="D417">
        <v>44800</v>
      </c>
      <c r="E417" t="s">
        <v>288</v>
      </c>
      <c r="F417" t="s">
        <v>289</v>
      </c>
    </row>
    <row r="418" spans="1:6" x14ac:dyDescent="0.25">
      <c r="A418" s="1">
        <v>1</v>
      </c>
      <c r="B418" s="1">
        <v>417</v>
      </c>
      <c r="C418">
        <v>14</v>
      </c>
      <c r="D418">
        <v>750000</v>
      </c>
      <c r="E418" t="s">
        <v>288</v>
      </c>
      <c r="F418" t="s">
        <v>289</v>
      </c>
    </row>
    <row r="419" spans="1:6" x14ac:dyDescent="0.25">
      <c r="A419" s="1">
        <v>1</v>
      </c>
      <c r="B419" s="1">
        <v>418</v>
      </c>
      <c r="C419">
        <v>15</v>
      </c>
      <c r="D419">
        <v>9000</v>
      </c>
      <c r="E419" t="s">
        <v>288</v>
      </c>
      <c r="F419" t="s">
        <v>289</v>
      </c>
    </row>
    <row r="420" spans="1:6" x14ac:dyDescent="0.25">
      <c r="A420" s="1">
        <v>1</v>
      </c>
      <c r="B420" s="1">
        <v>419</v>
      </c>
      <c r="C420">
        <v>16</v>
      </c>
      <c r="D420">
        <v>138500</v>
      </c>
      <c r="E420" t="s">
        <v>288</v>
      </c>
      <c r="F420" t="s">
        <v>289</v>
      </c>
    </row>
    <row r="421" spans="1:6" x14ac:dyDescent="0.25">
      <c r="A421" s="1">
        <v>1</v>
      </c>
      <c r="B421" s="1">
        <v>420</v>
      </c>
      <c r="C421">
        <v>17</v>
      </c>
      <c r="D421">
        <v>872625</v>
      </c>
      <c r="E421" t="s">
        <v>288</v>
      </c>
      <c r="F421" t="s">
        <v>289</v>
      </c>
    </row>
    <row r="422" spans="1:6" x14ac:dyDescent="0.25">
      <c r="A422" s="1">
        <v>1</v>
      </c>
      <c r="B422" s="1">
        <v>421</v>
      </c>
      <c r="C422">
        <v>18</v>
      </c>
      <c r="D422">
        <v>5400</v>
      </c>
      <c r="E422" t="s">
        <v>288</v>
      </c>
      <c r="F422" t="s">
        <v>289</v>
      </c>
    </row>
    <row r="423" spans="1:6" x14ac:dyDescent="0.25">
      <c r="A423" s="1">
        <v>1</v>
      </c>
      <c r="B423" s="1">
        <v>422</v>
      </c>
      <c r="C423">
        <v>19</v>
      </c>
      <c r="D423">
        <v>390000</v>
      </c>
      <c r="E423" t="s">
        <v>288</v>
      </c>
      <c r="F423" t="s">
        <v>289</v>
      </c>
    </row>
    <row r="424" spans="1:6" x14ac:dyDescent="0.25">
      <c r="A424" s="1">
        <v>1</v>
      </c>
      <c r="B424" s="1">
        <v>423</v>
      </c>
      <c r="C424">
        <v>20</v>
      </c>
      <c r="D424">
        <v>750000</v>
      </c>
      <c r="E424" t="s">
        <v>288</v>
      </c>
      <c r="F424" t="s">
        <v>289</v>
      </c>
    </row>
    <row r="425" spans="1:6" x14ac:dyDescent="0.25">
      <c r="A425" s="1">
        <v>1</v>
      </c>
      <c r="B425" s="1">
        <v>424</v>
      </c>
      <c r="C425">
        <v>21</v>
      </c>
      <c r="D425">
        <v>5400</v>
      </c>
      <c r="E425" t="s">
        <v>288</v>
      </c>
      <c r="F425" t="s">
        <v>289</v>
      </c>
    </row>
    <row r="426" spans="1:6" x14ac:dyDescent="0.25">
      <c r="A426" s="1">
        <v>1</v>
      </c>
      <c r="B426" s="1">
        <v>425</v>
      </c>
      <c r="C426">
        <v>22</v>
      </c>
      <c r="D426">
        <v>425000</v>
      </c>
      <c r="E426" t="s">
        <v>288</v>
      </c>
      <c r="F426" t="s">
        <v>289</v>
      </c>
    </row>
    <row r="427" spans="1:6" x14ac:dyDescent="0.25">
      <c r="A427" s="1">
        <v>1</v>
      </c>
      <c r="B427" s="1">
        <v>426</v>
      </c>
      <c r="C427">
        <v>23</v>
      </c>
      <c r="D427">
        <v>828000</v>
      </c>
      <c r="E427" t="s">
        <v>288</v>
      </c>
      <c r="F427" t="s">
        <v>289</v>
      </c>
    </row>
    <row r="428" spans="1:6" x14ac:dyDescent="0.25">
      <c r="A428" s="1">
        <v>1</v>
      </c>
      <c r="B428" s="1">
        <v>427</v>
      </c>
      <c r="C428">
        <v>24</v>
      </c>
      <c r="D428">
        <v>5400</v>
      </c>
      <c r="E428" t="s">
        <v>288</v>
      </c>
      <c r="F428" t="s">
        <v>289</v>
      </c>
    </row>
    <row r="429" spans="1:6" x14ac:dyDescent="0.25">
      <c r="A429" s="1">
        <v>1</v>
      </c>
      <c r="B429" s="1">
        <v>428</v>
      </c>
      <c r="C429">
        <v>25</v>
      </c>
      <c r="D429">
        <v>99500</v>
      </c>
      <c r="E429" t="s">
        <v>288</v>
      </c>
      <c r="F429" t="s">
        <v>289</v>
      </c>
    </row>
    <row r="430" spans="1:6" x14ac:dyDescent="0.25">
      <c r="A430" s="1">
        <v>1</v>
      </c>
      <c r="B430" s="1">
        <v>429</v>
      </c>
      <c r="C430">
        <v>26</v>
      </c>
      <c r="D430">
        <v>578999</v>
      </c>
      <c r="E430" t="s">
        <v>288</v>
      </c>
      <c r="F430" t="s">
        <v>289</v>
      </c>
    </row>
    <row r="431" spans="1:6" x14ac:dyDescent="0.25">
      <c r="A431" s="1">
        <v>1</v>
      </c>
      <c r="B431" s="1">
        <v>430</v>
      </c>
      <c r="C431">
        <v>101</v>
      </c>
      <c r="D431">
        <v>13600</v>
      </c>
      <c r="E431" t="s">
        <v>288</v>
      </c>
      <c r="F431" t="s">
        <v>289</v>
      </c>
    </row>
    <row r="432" spans="1:6" x14ac:dyDescent="0.25">
      <c r="A432" s="1">
        <v>1</v>
      </c>
      <c r="B432" s="1">
        <v>431</v>
      </c>
      <c r="C432">
        <v>102</v>
      </c>
      <c r="D432">
        <v>19000</v>
      </c>
      <c r="E432" t="s">
        <v>288</v>
      </c>
      <c r="F432" t="s">
        <v>289</v>
      </c>
    </row>
    <row r="433" spans="1:6" x14ac:dyDescent="0.25">
      <c r="A433" s="1">
        <v>1</v>
      </c>
      <c r="B433" s="1">
        <v>432</v>
      </c>
      <c r="C433">
        <v>103</v>
      </c>
      <c r="D433">
        <v>86030</v>
      </c>
      <c r="E433" t="s">
        <v>288</v>
      </c>
      <c r="F433" t="s">
        <v>289</v>
      </c>
    </row>
    <row r="434" spans="1:6" x14ac:dyDescent="0.25">
      <c r="A434" s="1">
        <v>1</v>
      </c>
      <c r="B434" s="1">
        <v>433</v>
      </c>
      <c r="C434">
        <v>1</v>
      </c>
      <c r="D434">
        <v>17676</v>
      </c>
      <c r="E434" t="s">
        <v>290</v>
      </c>
      <c r="F434" t="s">
        <v>291</v>
      </c>
    </row>
    <row r="435" spans="1:6" x14ac:dyDescent="0.25">
      <c r="A435" s="1">
        <v>1</v>
      </c>
      <c r="B435" s="1">
        <v>434</v>
      </c>
      <c r="C435">
        <v>2</v>
      </c>
      <c r="D435">
        <v>12499</v>
      </c>
      <c r="E435" t="s">
        <v>290</v>
      </c>
      <c r="F435" t="s">
        <v>291</v>
      </c>
    </row>
    <row r="436" spans="1:6" x14ac:dyDescent="0.25">
      <c r="A436" s="1">
        <v>1</v>
      </c>
      <c r="B436" s="1">
        <v>435</v>
      </c>
      <c r="C436">
        <v>3</v>
      </c>
      <c r="D436">
        <v>150000</v>
      </c>
      <c r="E436" t="s">
        <v>290</v>
      </c>
      <c r="F436" t="s">
        <v>291</v>
      </c>
    </row>
    <row r="437" spans="1:6" x14ac:dyDescent="0.25">
      <c r="A437" s="1">
        <v>1</v>
      </c>
      <c r="B437" s="1">
        <v>436</v>
      </c>
      <c r="C437">
        <v>9</v>
      </c>
      <c r="D437">
        <v>100000</v>
      </c>
      <c r="E437" t="s">
        <v>290</v>
      </c>
      <c r="F437" t="s">
        <v>291</v>
      </c>
    </row>
    <row r="438" spans="1:6" x14ac:dyDescent="0.25">
      <c r="A438" s="1">
        <v>1</v>
      </c>
      <c r="B438" s="1">
        <v>437</v>
      </c>
      <c r="C438">
        <v>10</v>
      </c>
      <c r="D438">
        <v>800000</v>
      </c>
      <c r="E438" t="s">
        <v>290</v>
      </c>
      <c r="F438" t="s">
        <v>291</v>
      </c>
    </row>
    <row r="439" spans="1:6" x14ac:dyDescent="0.25">
      <c r="A439" s="1">
        <v>1</v>
      </c>
      <c r="B439" s="1">
        <v>438</v>
      </c>
      <c r="C439">
        <v>11</v>
      </c>
      <c r="D439">
        <v>807692</v>
      </c>
      <c r="E439" t="s">
        <v>290</v>
      </c>
      <c r="F439" t="s">
        <v>291</v>
      </c>
    </row>
    <row r="440" spans="1:6" x14ac:dyDescent="0.25">
      <c r="A440" s="1">
        <v>1</v>
      </c>
      <c r="B440" s="1">
        <v>439</v>
      </c>
      <c r="C440">
        <v>12</v>
      </c>
      <c r="D440">
        <v>5400</v>
      </c>
      <c r="E440" t="s">
        <v>290</v>
      </c>
      <c r="F440" t="s">
        <v>291</v>
      </c>
    </row>
    <row r="441" spans="1:6" x14ac:dyDescent="0.25">
      <c r="A441" s="1">
        <v>1</v>
      </c>
      <c r="B441" s="1">
        <v>440</v>
      </c>
      <c r="C441">
        <v>13</v>
      </c>
      <c r="D441">
        <v>44800</v>
      </c>
      <c r="E441" t="s">
        <v>290</v>
      </c>
      <c r="F441" t="s">
        <v>291</v>
      </c>
    </row>
    <row r="442" spans="1:6" x14ac:dyDescent="0.25">
      <c r="A442" s="1">
        <v>1</v>
      </c>
      <c r="B442" s="1">
        <v>441</v>
      </c>
      <c r="C442">
        <v>14</v>
      </c>
      <c r="D442">
        <v>750000</v>
      </c>
      <c r="E442" t="s">
        <v>290</v>
      </c>
      <c r="F442" t="s">
        <v>291</v>
      </c>
    </row>
    <row r="443" spans="1:6" x14ac:dyDescent="0.25">
      <c r="A443" s="1">
        <v>1</v>
      </c>
      <c r="B443" s="1">
        <v>442</v>
      </c>
      <c r="C443">
        <v>15</v>
      </c>
      <c r="D443">
        <v>9000</v>
      </c>
      <c r="E443" t="s">
        <v>290</v>
      </c>
      <c r="F443" t="s">
        <v>291</v>
      </c>
    </row>
    <row r="444" spans="1:6" x14ac:dyDescent="0.25">
      <c r="A444" s="1">
        <v>1</v>
      </c>
      <c r="B444" s="1">
        <v>443</v>
      </c>
      <c r="C444">
        <v>16</v>
      </c>
      <c r="D444">
        <v>138500</v>
      </c>
      <c r="E444" t="s">
        <v>290</v>
      </c>
      <c r="F444" t="s">
        <v>291</v>
      </c>
    </row>
    <row r="445" spans="1:6" x14ac:dyDescent="0.25">
      <c r="A445" s="1">
        <v>1</v>
      </c>
      <c r="B445" s="1">
        <v>444</v>
      </c>
      <c r="C445">
        <v>17</v>
      </c>
      <c r="D445">
        <v>872625</v>
      </c>
      <c r="E445" t="s">
        <v>290</v>
      </c>
      <c r="F445" t="s">
        <v>291</v>
      </c>
    </row>
    <row r="446" spans="1:6" x14ac:dyDescent="0.25">
      <c r="A446" s="1">
        <v>1</v>
      </c>
      <c r="B446" s="1">
        <v>445</v>
      </c>
      <c r="C446">
        <v>18</v>
      </c>
      <c r="D446">
        <v>3499</v>
      </c>
      <c r="E446" t="s">
        <v>290</v>
      </c>
      <c r="F446" t="s">
        <v>291</v>
      </c>
    </row>
    <row r="447" spans="1:6" x14ac:dyDescent="0.25">
      <c r="A447" s="1">
        <v>1</v>
      </c>
      <c r="B447" s="1">
        <v>446</v>
      </c>
      <c r="C447">
        <v>19</v>
      </c>
      <c r="D447">
        <v>406999</v>
      </c>
      <c r="E447" t="s">
        <v>290</v>
      </c>
      <c r="F447" t="s">
        <v>291</v>
      </c>
    </row>
    <row r="448" spans="1:6" x14ac:dyDescent="0.25">
      <c r="A448" s="1">
        <v>1</v>
      </c>
      <c r="B448" s="1">
        <v>447</v>
      </c>
      <c r="C448">
        <v>20</v>
      </c>
      <c r="D448">
        <v>750000</v>
      </c>
      <c r="E448" t="s">
        <v>290</v>
      </c>
      <c r="F448" t="s">
        <v>291</v>
      </c>
    </row>
    <row r="449" spans="1:6" x14ac:dyDescent="0.25">
      <c r="A449" s="1">
        <v>1</v>
      </c>
      <c r="B449" s="1">
        <v>448</v>
      </c>
      <c r="C449">
        <v>21</v>
      </c>
      <c r="D449">
        <v>9900</v>
      </c>
      <c r="E449" t="s">
        <v>290</v>
      </c>
      <c r="F449" t="s">
        <v>291</v>
      </c>
    </row>
    <row r="450" spans="1:6" x14ac:dyDescent="0.25">
      <c r="A450" s="1">
        <v>1</v>
      </c>
      <c r="B450" s="1">
        <v>449</v>
      </c>
      <c r="C450">
        <v>22</v>
      </c>
      <c r="D450">
        <v>203999</v>
      </c>
      <c r="E450" t="s">
        <v>290</v>
      </c>
      <c r="F450" t="s">
        <v>291</v>
      </c>
    </row>
    <row r="451" spans="1:6" x14ac:dyDescent="0.25">
      <c r="A451" s="1">
        <v>1</v>
      </c>
      <c r="B451" s="1">
        <v>450</v>
      </c>
      <c r="C451">
        <v>23</v>
      </c>
      <c r="D451">
        <v>828000</v>
      </c>
      <c r="E451" t="s">
        <v>290</v>
      </c>
      <c r="F451" t="s">
        <v>291</v>
      </c>
    </row>
    <row r="452" spans="1:6" x14ac:dyDescent="0.25">
      <c r="A452" s="1">
        <v>1</v>
      </c>
      <c r="B452" s="1">
        <v>451</v>
      </c>
      <c r="C452">
        <v>24</v>
      </c>
      <c r="D452">
        <v>3799</v>
      </c>
      <c r="E452" t="s">
        <v>290</v>
      </c>
      <c r="F452" t="s">
        <v>291</v>
      </c>
    </row>
    <row r="453" spans="1:6" x14ac:dyDescent="0.25">
      <c r="A453" s="1">
        <v>1</v>
      </c>
      <c r="B453" s="1">
        <v>452</v>
      </c>
      <c r="C453">
        <v>25</v>
      </c>
      <c r="D453">
        <v>258999</v>
      </c>
      <c r="E453" t="s">
        <v>290</v>
      </c>
      <c r="F453" t="s">
        <v>291</v>
      </c>
    </row>
    <row r="454" spans="1:6" x14ac:dyDescent="0.25">
      <c r="A454" s="1">
        <v>1</v>
      </c>
      <c r="B454" s="1">
        <v>453</v>
      </c>
      <c r="C454">
        <v>26</v>
      </c>
      <c r="D454">
        <v>578999</v>
      </c>
      <c r="E454" t="s">
        <v>290</v>
      </c>
      <c r="F454" t="s">
        <v>291</v>
      </c>
    </row>
    <row r="455" spans="1:6" x14ac:dyDescent="0.25">
      <c r="A455" s="1">
        <v>1</v>
      </c>
      <c r="B455" s="1">
        <v>454</v>
      </c>
      <c r="C455">
        <v>101</v>
      </c>
      <c r="D455">
        <v>13600</v>
      </c>
      <c r="E455" t="s">
        <v>290</v>
      </c>
      <c r="F455" t="s">
        <v>291</v>
      </c>
    </row>
    <row r="456" spans="1:6" x14ac:dyDescent="0.25">
      <c r="A456" s="1">
        <v>1</v>
      </c>
      <c r="B456" s="1">
        <v>455</v>
      </c>
      <c r="C456">
        <v>102</v>
      </c>
      <c r="D456">
        <v>19000</v>
      </c>
      <c r="E456" t="s">
        <v>290</v>
      </c>
      <c r="F456" t="s">
        <v>291</v>
      </c>
    </row>
    <row r="457" spans="1:6" x14ac:dyDescent="0.25">
      <c r="A457" s="1">
        <v>1</v>
      </c>
      <c r="B457" s="1">
        <v>456</v>
      </c>
      <c r="C457">
        <v>103</v>
      </c>
      <c r="D457">
        <v>86030</v>
      </c>
      <c r="E457" t="s">
        <v>290</v>
      </c>
      <c r="F457" t="s">
        <v>291</v>
      </c>
    </row>
    <row r="458" spans="1:6" x14ac:dyDescent="0.25">
      <c r="A458" s="1">
        <v>1</v>
      </c>
      <c r="B458" s="1">
        <v>457</v>
      </c>
      <c r="C458">
        <v>1</v>
      </c>
      <c r="D458">
        <v>17500</v>
      </c>
      <c r="E458" t="s">
        <v>290</v>
      </c>
      <c r="F458" t="s">
        <v>292</v>
      </c>
    </row>
    <row r="459" spans="1:6" x14ac:dyDescent="0.25">
      <c r="A459" s="1">
        <v>1</v>
      </c>
      <c r="B459" s="1">
        <v>458</v>
      </c>
      <c r="C459">
        <v>2</v>
      </c>
      <c r="D459">
        <v>248999</v>
      </c>
      <c r="E459" t="s">
        <v>290</v>
      </c>
      <c r="F459" t="s">
        <v>292</v>
      </c>
    </row>
    <row r="460" spans="1:6" x14ac:dyDescent="0.25">
      <c r="A460" s="1">
        <v>1</v>
      </c>
      <c r="B460" s="1">
        <v>459</v>
      </c>
      <c r="C460">
        <v>3</v>
      </c>
      <c r="D460">
        <v>138500</v>
      </c>
      <c r="E460" t="s">
        <v>290</v>
      </c>
      <c r="F460" t="s">
        <v>292</v>
      </c>
    </row>
    <row r="461" spans="1:6" x14ac:dyDescent="0.25">
      <c r="A461" s="1">
        <v>1</v>
      </c>
      <c r="B461" s="1">
        <v>460</v>
      </c>
      <c r="C461">
        <v>9</v>
      </c>
      <c r="D461">
        <v>43600</v>
      </c>
      <c r="E461" t="s">
        <v>290</v>
      </c>
      <c r="F461" t="s">
        <v>292</v>
      </c>
    </row>
    <row r="462" spans="1:6" x14ac:dyDescent="0.25">
      <c r="A462" s="1">
        <v>1</v>
      </c>
      <c r="B462" s="1">
        <v>461</v>
      </c>
      <c r="C462">
        <v>10</v>
      </c>
      <c r="D462">
        <v>650000</v>
      </c>
      <c r="E462" t="s">
        <v>290</v>
      </c>
      <c r="F462" t="s">
        <v>292</v>
      </c>
    </row>
    <row r="463" spans="1:6" x14ac:dyDescent="0.25">
      <c r="A463" s="1">
        <v>1</v>
      </c>
      <c r="B463" s="1">
        <v>462</v>
      </c>
      <c r="C463">
        <v>11</v>
      </c>
      <c r="D463">
        <v>807692</v>
      </c>
      <c r="E463" t="s">
        <v>290</v>
      </c>
      <c r="F463" t="s">
        <v>292</v>
      </c>
    </row>
    <row r="464" spans="1:6" x14ac:dyDescent="0.25">
      <c r="A464" s="1">
        <v>1</v>
      </c>
      <c r="B464" s="1">
        <v>463</v>
      </c>
      <c r="C464">
        <v>12</v>
      </c>
      <c r="D464">
        <v>180000</v>
      </c>
      <c r="E464" t="s">
        <v>290</v>
      </c>
      <c r="F464" t="s">
        <v>292</v>
      </c>
    </row>
    <row r="465" spans="1:6" x14ac:dyDescent="0.25">
      <c r="A465" s="1">
        <v>1</v>
      </c>
      <c r="B465" s="1">
        <v>464</v>
      </c>
      <c r="C465">
        <v>13</v>
      </c>
      <c r="D465">
        <v>44800</v>
      </c>
      <c r="E465" t="s">
        <v>290</v>
      </c>
      <c r="F465" t="s">
        <v>292</v>
      </c>
    </row>
    <row r="466" spans="1:6" x14ac:dyDescent="0.25">
      <c r="A466" s="1">
        <v>1</v>
      </c>
      <c r="B466" s="1">
        <v>465</v>
      </c>
      <c r="C466">
        <v>14</v>
      </c>
      <c r="D466">
        <v>750000</v>
      </c>
      <c r="E466" t="s">
        <v>290</v>
      </c>
      <c r="F466" t="s">
        <v>292</v>
      </c>
    </row>
    <row r="467" spans="1:6" x14ac:dyDescent="0.25">
      <c r="A467" s="1">
        <v>1</v>
      </c>
      <c r="B467" s="1">
        <v>466</v>
      </c>
      <c r="C467">
        <v>15</v>
      </c>
      <c r="D467">
        <v>9000</v>
      </c>
      <c r="E467" t="s">
        <v>290</v>
      </c>
      <c r="F467" t="s">
        <v>292</v>
      </c>
    </row>
    <row r="468" spans="1:6" x14ac:dyDescent="0.25">
      <c r="A468" s="1">
        <v>1</v>
      </c>
      <c r="B468" s="1">
        <v>467</v>
      </c>
      <c r="C468">
        <v>16</v>
      </c>
      <c r="D468">
        <v>138500</v>
      </c>
      <c r="E468" t="s">
        <v>290</v>
      </c>
      <c r="F468" t="s">
        <v>292</v>
      </c>
    </row>
    <row r="469" spans="1:6" x14ac:dyDescent="0.25">
      <c r="A469" s="1">
        <v>1</v>
      </c>
      <c r="B469" s="1">
        <v>468</v>
      </c>
      <c r="C469">
        <v>17</v>
      </c>
      <c r="D469">
        <v>872625</v>
      </c>
      <c r="E469" t="s">
        <v>290</v>
      </c>
      <c r="F469" t="s">
        <v>292</v>
      </c>
    </row>
    <row r="470" spans="1:6" x14ac:dyDescent="0.25">
      <c r="A470" s="1">
        <v>1</v>
      </c>
      <c r="B470" s="1">
        <v>469</v>
      </c>
      <c r="C470">
        <v>18</v>
      </c>
      <c r="D470">
        <v>2400</v>
      </c>
      <c r="E470" t="s">
        <v>290</v>
      </c>
      <c r="F470" t="s">
        <v>292</v>
      </c>
    </row>
    <row r="471" spans="1:6" x14ac:dyDescent="0.25">
      <c r="A471" s="1">
        <v>1</v>
      </c>
      <c r="B471" s="1">
        <v>470</v>
      </c>
      <c r="C471">
        <v>19</v>
      </c>
      <c r="D471">
        <v>305000</v>
      </c>
      <c r="E471" t="s">
        <v>290</v>
      </c>
      <c r="F471" t="s">
        <v>292</v>
      </c>
    </row>
    <row r="472" spans="1:6" x14ac:dyDescent="0.25">
      <c r="A472" s="1">
        <v>1</v>
      </c>
      <c r="B472" s="1">
        <v>471</v>
      </c>
      <c r="C472">
        <v>20</v>
      </c>
      <c r="D472">
        <v>750000</v>
      </c>
      <c r="E472" t="s">
        <v>290</v>
      </c>
      <c r="F472" t="s">
        <v>292</v>
      </c>
    </row>
    <row r="473" spans="1:6" x14ac:dyDescent="0.25">
      <c r="A473" s="1">
        <v>1</v>
      </c>
      <c r="B473" s="1">
        <v>472</v>
      </c>
      <c r="C473">
        <v>21</v>
      </c>
      <c r="D473">
        <v>149000</v>
      </c>
      <c r="E473" t="s">
        <v>290</v>
      </c>
      <c r="F473" t="s">
        <v>292</v>
      </c>
    </row>
    <row r="474" spans="1:6" x14ac:dyDescent="0.25">
      <c r="A474" s="1">
        <v>1</v>
      </c>
      <c r="B474" s="1">
        <v>473</v>
      </c>
      <c r="C474">
        <v>22</v>
      </c>
      <c r="D474">
        <v>789900</v>
      </c>
      <c r="E474" t="s">
        <v>290</v>
      </c>
      <c r="F474" t="s">
        <v>292</v>
      </c>
    </row>
    <row r="475" spans="1:6" x14ac:dyDescent="0.25">
      <c r="A475" s="1">
        <v>1</v>
      </c>
      <c r="B475" s="1">
        <v>474</v>
      </c>
      <c r="C475">
        <v>23</v>
      </c>
      <c r="D475">
        <v>828000</v>
      </c>
      <c r="E475" t="s">
        <v>290</v>
      </c>
      <c r="F475" t="s">
        <v>292</v>
      </c>
    </row>
    <row r="476" spans="1:6" x14ac:dyDescent="0.25">
      <c r="A476" s="1">
        <v>1</v>
      </c>
      <c r="B476" s="1">
        <v>475</v>
      </c>
      <c r="C476">
        <v>24</v>
      </c>
      <c r="D476">
        <v>6400</v>
      </c>
      <c r="E476" t="s">
        <v>290</v>
      </c>
      <c r="F476" t="s">
        <v>292</v>
      </c>
    </row>
    <row r="477" spans="1:6" x14ac:dyDescent="0.25">
      <c r="A477" s="1">
        <v>1</v>
      </c>
      <c r="B477" s="1">
        <v>476</v>
      </c>
      <c r="C477">
        <v>25</v>
      </c>
      <c r="D477">
        <v>178500</v>
      </c>
      <c r="E477" t="s">
        <v>290</v>
      </c>
      <c r="F477" t="s">
        <v>292</v>
      </c>
    </row>
    <row r="478" spans="1:6" x14ac:dyDescent="0.25">
      <c r="A478" s="1">
        <v>1</v>
      </c>
      <c r="B478" s="1">
        <v>477</v>
      </c>
      <c r="C478">
        <v>26</v>
      </c>
      <c r="D478">
        <v>578999</v>
      </c>
      <c r="E478" t="s">
        <v>290</v>
      </c>
      <c r="F478" t="s">
        <v>292</v>
      </c>
    </row>
    <row r="479" spans="1:6" x14ac:dyDescent="0.25">
      <c r="A479" s="1">
        <v>1</v>
      </c>
      <c r="B479" s="1">
        <v>478</v>
      </c>
      <c r="C479">
        <v>101</v>
      </c>
      <c r="D479">
        <v>13600</v>
      </c>
      <c r="E479" t="s">
        <v>290</v>
      </c>
      <c r="F479" t="s">
        <v>292</v>
      </c>
    </row>
    <row r="480" spans="1:6" x14ac:dyDescent="0.25">
      <c r="A480" s="1">
        <v>1</v>
      </c>
      <c r="B480" s="1">
        <v>479</v>
      </c>
      <c r="C480">
        <v>102</v>
      </c>
      <c r="D480">
        <v>19000</v>
      </c>
      <c r="E480" t="s">
        <v>290</v>
      </c>
      <c r="F480" t="s">
        <v>292</v>
      </c>
    </row>
    <row r="481" spans="1:6" x14ac:dyDescent="0.25">
      <c r="A481" s="1">
        <v>1</v>
      </c>
      <c r="B481" s="1">
        <v>480</v>
      </c>
      <c r="C481">
        <v>103</v>
      </c>
      <c r="D481">
        <v>86030</v>
      </c>
      <c r="E481" t="s">
        <v>290</v>
      </c>
      <c r="F481" t="s">
        <v>292</v>
      </c>
    </row>
    <row r="482" spans="1:6" x14ac:dyDescent="0.25">
      <c r="A482" s="1">
        <v>1</v>
      </c>
      <c r="B482" s="1">
        <v>481</v>
      </c>
      <c r="C482">
        <v>1</v>
      </c>
      <c r="D482">
        <v>14300</v>
      </c>
      <c r="E482" t="s">
        <v>293</v>
      </c>
      <c r="F482" t="s">
        <v>294</v>
      </c>
    </row>
    <row r="483" spans="1:6" x14ac:dyDescent="0.25">
      <c r="A483" s="1">
        <v>1</v>
      </c>
      <c r="B483" s="1">
        <v>482</v>
      </c>
      <c r="C483">
        <v>2</v>
      </c>
      <c r="D483">
        <v>19800</v>
      </c>
      <c r="E483" t="s">
        <v>293</v>
      </c>
      <c r="F483" t="s">
        <v>294</v>
      </c>
    </row>
    <row r="484" spans="1:6" x14ac:dyDescent="0.25">
      <c r="A484" s="1">
        <v>1</v>
      </c>
      <c r="B484" s="1">
        <v>483</v>
      </c>
      <c r="C484">
        <v>3</v>
      </c>
      <c r="D484">
        <v>79500</v>
      </c>
      <c r="E484" t="s">
        <v>293</v>
      </c>
      <c r="F484" t="s">
        <v>294</v>
      </c>
    </row>
    <row r="485" spans="1:6" x14ac:dyDescent="0.25">
      <c r="A485" s="1">
        <v>1</v>
      </c>
      <c r="B485" s="1">
        <v>484</v>
      </c>
      <c r="C485">
        <v>9</v>
      </c>
      <c r="D485">
        <v>10000</v>
      </c>
      <c r="E485" t="s">
        <v>293</v>
      </c>
      <c r="F485" t="s">
        <v>294</v>
      </c>
    </row>
    <row r="486" spans="1:6" x14ac:dyDescent="0.25">
      <c r="A486" s="1">
        <v>1</v>
      </c>
      <c r="B486" s="1">
        <v>485</v>
      </c>
      <c r="C486">
        <v>10</v>
      </c>
      <c r="D486">
        <v>498000</v>
      </c>
      <c r="E486" t="s">
        <v>293</v>
      </c>
      <c r="F486" t="s">
        <v>294</v>
      </c>
    </row>
    <row r="487" spans="1:6" x14ac:dyDescent="0.25">
      <c r="A487" s="1">
        <v>1</v>
      </c>
      <c r="B487" s="1">
        <v>486</v>
      </c>
      <c r="C487">
        <v>11</v>
      </c>
      <c r="D487">
        <v>807692</v>
      </c>
      <c r="E487" t="s">
        <v>293</v>
      </c>
      <c r="F487" t="s">
        <v>294</v>
      </c>
    </row>
    <row r="488" spans="1:6" x14ac:dyDescent="0.25">
      <c r="A488" s="1">
        <v>1</v>
      </c>
      <c r="B488" s="1">
        <v>487</v>
      </c>
      <c r="C488">
        <v>12</v>
      </c>
      <c r="D488">
        <v>20000</v>
      </c>
      <c r="E488" t="s">
        <v>293</v>
      </c>
      <c r="F488" t="s">
        <v>294</v>
      </c>
    </row>
    <row r="489" spans="1:6" x14ac:dyDescent="0.25">
      <c r="A489" s="1">
        <v>1</v>
      </c>
      <c r="B489" s="1">
        <v>488</v>
      </c>
      <c r="C489">
        <v>13</v>
      </c>
      <c r="D489">
        <v>44800</v>
      </c>
      <c r="E489" t="s">
        <v>293</v>
      </c>
      <c r="F489" t="s">
        <v>294</v>
      </c>
    </row>
    <row r="490" spans="1:6" x14ac:dyDescent="0.25">
      <c r="A490" s="1">
        <v>1</v>
      </c>
      <c r="B490" s="1">
        <v>489</v>
      </c>
      <c r="C490">
        <v>14</v>
      </c>
      <c r="D490">
        <v>750000</v>
      </c>
      <c r="E490" t="s">
        <v>293</v>
      </c>
      <c r="F490" t="s">
        <v>294</v>
      </c>
    </row>
    <row r="491" spans="1:6" x14ac:dyDescent="0.25">
      <c r="A491" s="1">
        <v>1</v>
      </c>
      <c r="B491" s="1">
        <v>490</v>
      </c>
      <c r="C491">
        <v>15</v>
      </c>
      <c r="D491">
        <v>9000</v>
      </c>
      <c r="E491" t="s">
        <v>293</v>
      </c>
      <c r="F491" t="s">
        <v>294</v>
      </c>
    </row>
    <row r="492" spans="1:6" x14ac:dyDescent="0.25">
      <c r="A492" s="1">
        <v>1</v>
      </c>
      <c r="B492" s="1">
        <v>491</v>
      </c>
      <c r="C492">
        <v>16</v>
      </c>
      <c r="D492">
        <v>138500</v>
      </c>
      <c r="E492" t="s">
        <v>293</v>
      </c>
      <c r="F492" t="s">
        <v>294</v>
      </c>
    </row>
    <row r="493" spans="1:6" x14ac:dyDescent="0.25">
      <c r="A493" s="1">
        <v>1</v>
      </c>
      <c r="B493" s="1">
        <v>492</v>
      </c>
      <c r="C493">
        <v>17</v>
      </c>
      <c r="D493">
        <v>872625</v>
      </c>
      <c r="E493" t="s">
        <v>293</v>
      </c>
      <c r="F493" t="s">
        <v>294</v>
      </c>
    </row>
    <row r="494" spans="1:6" x14ac:dyDescent="0.25">
      <c r="A494" s="1">
        <v>1</v>
      </c>
      <c r="B494" s="1">
        <v>493</v>
      </c>
      <c r="C494">
        <v>18</v>
      </c>
      <c r="D494">
        <v>17000</v>
      </c>
      <c r="E494" t="s">
        <v>293</v>
      </c>
      <c r="F494" t="s">
        <v>294</v>
      </c>
    </row>
    <row r="495" spans="1:6" x14ac:dyDescent="0.25">
      <c r="A495" s="1">
        <v>1</v>
      </c>
      <c r="B495" s="1">
        <v>494</v>
      </c>
      <c r="C495">
        <v>19</v>
      </c>
      <c r="D495">
        <v>277000</v>
      </c>
      <c r="E495" t="s">
        <v>293</v>
      </c>
      <c r="F495" t="s">
        <v>294</v>
      </c>
    </row>
    <row r="496" spans="1:6" x14ac:dyDescent="0.25">
      <c r="A496" s="1">
        <v>1</v>
      </c>
      <c r="B496" s="1">
        <v>495</v>
      </c>
      <c r="C496">
        <v>20</v>
      </c>
      <c r="D496">
        <v>750000</v>
      </c>
      <c r="E496" t="s">
        <v>293</v>
      </c>
      <c r="F496" t="s">
        <v>294</v>
      </c>
    </row>
    <row r="497" spans="1:6" x14ac:dyDescent="0.25">
      <c r="A497" s="1">
        <v>1</v>
      </c>
      <c r="B497" s="1">
        <v>496</v>
      </c>
      <c r="C497">
        <v>21</v>
      </c>
      <c r="D497">
        <v>134500</v>
      </c>
      <c r="E497" t="s">
        <v>293</v>
      </c>
      <c r="F497" t="s">
        <v>294</v>
      </c>
    </row>
    <row r="498" spans="1:6" x14ac:dyDescent="0.25">
      <c r="A498" s="1">
        <v>1</v>
      </c>
      <c r="B498" s="1">
        <v>497</v>
      </c>
      <c r="C498">
        <v>22</v>
      </c>
      <c r="D498">
        <v>628000</v>
      </c>
      <c r="E498" t="s">
        <v>293</v>
      </c>
      <c r="F498" t="s">
        <v>294</v>
      </c>
    </row>
    <row r="499" spans="1:6" x14ac:dyDescent="0.25">
      <c r="A499" s="1">
        <v>1</v>
      </c>
      <c r="B499" s="1">
        <v>498</v>
      </c>
      <c r="C499">
        <v>23</v>
      </c>
      <c r="D499">
        <v>828000</v>
      </c>
      <c r="E499" t="s">
        <v>293</v>
      </c>
      <c r="F499" t="s">
        <v>294</v>
      </c>
    </row>
    <row r="500" spans="1:6" x14ac:dyDescent="0.25">
      <c r="A500" s="1">
        <v>1</v>
      </c>
      <c r="B500" s="1">
        <v>499</v>
      </c>
      <c r="C500">
        <v>24</v>
      </c>
      <c r="D500">
        <v>79000</v>
      </c>
      <c r="E500" t="s">
        <v>293</v>
      </c>
      <c r="F500" t="s">
        <v>294</v>
      </c>
    </row>
    <row r="501" spans="1:6" x14ac:dyDescent="0.25">
      <c r="A501" s="1">
        <v>1</v>
      </c>
      <c r="B501" s="1">
        <v>500</v>
      </c>
      <c r="C501">
        <v>25</v>
      </c>
      <c r="D501">
        <v>109000</v>
      </c>
      <c r="E501" t="s">
        <v>293</v>
      </c>
      <c r="F501" t="s">
        <v>294</v>
      </c>
    </row>
    <row r="502" spans="1:6" x14ac:dyDescent="0.25">
      <c r="A502" s="1">
        <v>1</v>
      </c>
      <c r="B502" s="1">
        <v>501</v>
      </c>
      <c r="C502">
        <v>26</v>
      </c>
      <c r="D502">
        <v>578999</v>
      </c>
      <c r="E502" t="s">
        <v>293</v>
      </c>
      <c r="F502" t="s">
        <v>294</v>
      </c>
    </row>
    <row r="503" spans="1:6" x14ac:dyDescent="0.25">
      <c r="A503" s="1">
        <v>1</v>
      </c>
      <c r="B503" s="1">
        <v>502</v>
      </c>
      <c r="C503">
        <v>101</v>
      </c>
      <c r="D503">
        <v>13600</v>
      </c>
      <c r="E503" t="s">
        <v>293</v>
      </c>
      <c r="F503" t="s">
        <v>294</v>
      </c>
    </row>
    <row r="504" spans="1:6" x14ac:dyDescent="0.25">
      <c r="A504" s="1">
        <v>1</v>
      </c>
      <c r="B504" s="1">
        <v>503</v>
      </c>
      <c r="C504">
        <v>102</v>
      </c>
      <c r="D504">
        <v>19000</v>
      </c>
      <c r="E504" t="s">
        <v>293</v>
      </c>
      <c r="F504" t="s">
        <v>294</v>
      </c>
    </row>
    <row r="505" spans="1:6" x14ac:dyDescent="0.25">
      <c r="A505" s="1">
        <v>1</v>
      </c>
      <c r="B505" s="1">
        <v>504</v>
      </c>
      <c r="C505">
        <v>103</v>
      </c>
      <c r="D505">
        <v>86030</v>
      </c>
      <c r="E505" t="s">
        <v>293</v>
      </c>
      <c r="F505" t="s">
        <v>294</v>
      </c>
    </row>
    <row r="506" spans="1:6" x14ac:dyDescent="0.25">
      <c r="A506" s="1">
        <v>0</v>
      </c>
      <c r="B506" s="1">
        <v>505</v>
      </c>
      <c r="C506">
        <v>1</v>
      </c>
      <c r="D506">
        <v>50000</v>
      </c>
      <c r="E506" t="s">
        <v>293</v>
      </c>
      <c r="F506" t="s">
        <v>295</v>
      </c>
    </row>
    <row r="507" spans="1:6" x14ac:dyDescent="0.25">
      <c r="A507" s="1">
        <v>0</v>
      </c>
      <c r="B507" s="1">
        <v>506</v>
      </c>
      <c r="C507">
        <v>2</v>
      </c>
      <c r="D507">
        <v>11000</v>
      </c>
      <c r="E507" t="s">
        <v>293</v>
      </c>
      <c r="F507" t="s">
        <v>295</v>
      </c>
    </row>
    <row r="508" spans="1:6" x14ac:dyDescent="0.25">
      <c r="A508" s="1">
        <v>0</v>
      </c>
      <c r="B508" s="1">
        <v>507</v>
      </c>
      <c r="C508">
        <v>3</v>
      </c>
      <c r="D508">
        <v>73500</v>
      </c>
      <c r="E508" t="s">
        <v>293</v>
      </c>
      <c r="F508" t="s">
        <v>295</v>
      </c>
    </row>
    <row r="509" spans="1:6" x14ac:dyDescent="0.25">
      <c r="A509" s="1">
        <v>0</v>
      </c>
      <c r="B509" s="1">
        <v>508</v>
      </c>
      <c r="C509">
        <v>9</v>
      </c>
      <c r="D509">
        <v>11000</v>
      </c>
      <c r="E509" t="s">
        <v>293</v>
      </c>
      <c r="F509" t="s">
        <v>295</v>
      </c>
    </row>
    <row r="510" spans="1:6" x14ac:dyDescent="0.25">
      <c r="A510" s="1">
        <v>0</v>
      </c>
      <c r="B510" s="1">
        <v>509</v>
      </c>
      <c r="C510">
        <v>10</v>
      </c>
      <c r="D510">
        <v>429000</v>
      </c>
      <c r="E510" t="s">
        <v>293</v>
      </c>
      <c r="F510" t="s">
        <v>295</v>
      </c>
    </row>
    <row r="511" spans="1:6" x14ac:dyDescent="0.25">
      <c r="A511" s="1">
        <v>0</v>
      </c>
      <c r="B511" s="1">
        <v>510</v>
      </c>
      <c r="C511">
        <v>11</v>
      </c>
      <c r="D511">
        <v>807692</v>
      </c>
      <c r="E511" t="s">
        <v>293</v>
      </c>
      <c r="F511" t="s">
        <v>295</v>
      </c>
    </row>
    <row r="512" spans="1:6" x14ac:dyDescent="0.25">
      <c r="A512" s="1">
        <v>0</v>
      </c>
      <c r="B512" s="1">
        <v>511</v>
      </c>
      <c r="C512">
        <v>12</v>
      </c>
      <c r="D512">
        <v>11000</v>
      </c>
      <c r="E512" t="s">
        <v>293</v>
      </c>
      <c r="F512" t="s">
        <v>295</v>
      </c>
    </row>
    <row r="513" spans="1:6" x14ac:dyDescent="0.25">
      <c r="A513" s="1">
        <v>0</v>
      </c>
      <c r="B513" s="1">
        <v>512</v>
      </c>
      <c r="C513">
        <v>13</v>
      </c>
      <c r="D513">
        <v>44800</v>
      </c>
      <c r="E513" t="s">
        <v>293</v>
      </c>
      <c r="F513" t="s">
        <v>295</v>
      </c>
    </row>
    <row r="514" spans="1:6" x14ac:dyDescent="0.25">
      <c r="A514" s="1">
        <v>0</v>
      </c>
      <c r="B514" s="1">
        <v>513</v>
      </c>
      <c r="C514">
        <v>14</v>
      </c>
      <c r="D514">
        <v>750000</v>
      </c>
      <c r="E514" t="s">
        <v>293</v>
      </c>
      <c r="F514" t="s">
        <v>295</v>
      </c>
    </row>
    <row r="515" spans="1:6" x14ac:dyDescent="0.25">
      <c r="A515" s="1">
        <v>0</v>
      </c>
      <c r="B515" s="1">
        <v>514</v>
      </c>
      <c r="C515">
        <v>15</v>
      </c>
      <c r="D515">
        <v>9000</v>
      </c>
      <c r="E515" t="s">
        <v>293</v>
      </c>
      <c r="F515" t="s">
        <v>295</v>
      </c>
    </row>
    <row r="516" spans="1:6" x14ac:dyDescent="0.25">
      <c r="A516" s="1">
        <v>0</v>
      </c>
      <c r="B516" s="1">
        <v>515</v>
      </c>
      <c r="C516">
        <v>16</v>
      </c>
      <c r="D516">
        <v>138500</v>
      </c>
      <c r="E516" t="s">
        <v>293</v>
      </c>
      <c r="F516" t="s">
        <v>295</v>
      </c>
    </row>
    <row r="517" spans="1:6" x14ac:dyDescent="0.25">
      <c r="A517" s="1">
        <v>0</v>
      </c>
      <c r="B517" s="1">
        <v>516</v>
      </c>
      <c r="C517">
        <v>17</v>
      </c>
      <c r="D517">
        <v>872625</v>
      </c>
      <c r="E517" t="s">
        <v>293</v>
      </c>
      <c r="F517" t="s">
        <v>295</v>
      </c>
    </row>
    <row r="518" spans="1:6" x14ac:dyDescent="0.25">
      <c r="A518" s="1">
        <v>0</v>
      </c>
      <c r="B518" s="1">
        <v>517</v>
      </c>
      <c r="C518">
        <v>18</v>
      </c>
      <c r="D518">
        <v>11000</v>
      </c>
      <c r="E518" t="s">
        <v>293</v>
      </c>
      <c r="F518" t="s">
        <v>295</v>
      </c>
    </row>
    <row r="519" spans="1:6" x14ac:dyDescent="0.25">
      <c r="A519" s="1">
        <v>0</v>
      </c>
      <c r="B519" s="1">
        <v>518</v>
      </c>
      <c r="C519">
        <v>19</v>
      </c>
      <c r="D519">
        <v>297000</v>
      </c>
      <c r="E519" t="s">
        <v>293</v>
      </c>
      <c r="F519" t="s">
        <v>295</v>
      </c>
    </row>
    <row r="520" spans="1:6" x14ac:dyDescent="0.25">
      <c r="A520" s="1">
        <v>0</v>
      </c>
      <c r="B520" s="1">
        <v>519</v>
      </c>
      <c r="C520">
        <v>20</v>
      </c>
      <c r="D520">
        <v>750000</v>
      </c>
      <c r="E520" t="s">
        <v>293</v>
      </c>
      <c r="F520" t="s">
        <v>295</v>
      </c>
    </row>
    <row r="521" spans="1:6" x14ac:dyDescent="0.25">
      <c r="A521" s="1">
        <v>0</v>
      </c>
      <c r="B521" s="1">
        <v>520</v>
      </c>
      <c r="C521">
        <v>21</v>
      </c>
      <c r="D521">
        <v>10800</v>
      </c>
      <c r="E521" t="s">
        <v>293</v>
      </c>
      <c r="F521" t="s">
        <v>295</v>
      </c>
    </row>
    <row r="522" spans="1:6" x14ac:dyDescent="0.25">
      <c r="A522" s="1">
        <v>0</v>
      </c>
      <c r="B522" s="1">
        <v>521</v>
      </c>
      <c r="C522">
        <v>22</v>
      </c>
      <c r="D522">
        <v>529000</v>
      </c>
      <c r="E522" t="s">
        <v>293</v>
      </c>
      <c r="F522" t="s">
        <v>295</v>
      </c>
    </row>
    <row r="523" spans="1:6" x14ac:dyDescent="0.25">
      <c r="A523" s="1">
        <v>0</v>
      </c>
      <c r="B523" s="1">
        <v>522</v>
      </c>
      <c r="C523">
        <v>23</v>
      </c>
      <c r="D523">
        <v>828000</v>
      </c>
      <c r="E523" t="s">
        <v>293</v>
      </c>
      <c r="F523" t="s">
        <v>295</v>
      </c>
    </row>
    <row r="524" spans="1:6" x14ac:dyDescent="0.25">
      <c r="A524" s="1">
        <v>0</v>
      </c>
      <c r="B524" s="1">
        <v>523</v>
      </c>
      <c r="C524">
        <v>24</v>
      </c>
      <c r="D524">
        <v>11000</v>
      </c>
      <c r="E524" t="s">
        <v>293</v>
      </c>
      <c r="F524" t="s">
        <v>295</v>
      </c>
    </row>
    <row r="525" spans="1:6" x14ac:dyDescent="0.25">
      <c r="A525" s="1">
        <v>0</v>
      </c>
      <c r="B525" s="1">
        <v>524</v>
      </c>
      <c r="C525">
        <v>25</v>
      </c>
      <c r="D525">
        <v>77500</v>
      </c>
      <c r="E525" t="s">
        <v>293</v>
      </c>
      <c r="F525" t="s">
        <v>295</v>
      </c>
    </row>
    <row r="526" spans="1:6" x14ac:dyDescent="0.25">
      <c r="A526" s="1">
        <v>0</v>
      </c>
      <c r="B526" s="1">
        <v>525</v>
      </c>
      <c r="C526">
        <v>26</v>
      </c>
      <c r="D526">
        <v>578999</v>
      </c>
      <c r="E526" t="s">
        <v>293</v>
      </c>
      <c r="F526" t="s">
        <v>295</v>
      </c>
    </row>
    <row r="527" spans="1:6" x14ac:dyDescent="0.25">
      <c r="A527" s="1">
        <v>0</v>
      </c>
      <c r="B527" s="1">
        <v>526</v>
      </c>
      <c r="C527">
        <v>101</v>
      </c>
      <c r="D527">
        <v>13600</v>
      </c>
      <c r="E527" t="s">
        <v>293</v>
      </c>
      <c r="F527" t="s">
        <v>295</v>
      </c>
    </row>
    <row r="528" spans="1:6" x14ac:dyDescent="0.25">
      <c r="A528" s="1">
        <v>0</v>
      </c>
      <c r="B528" s="1">
        <v>527</v>
      </c>
      <c r="C528">
        <v>102</v>
      </c>
      <c r="D528">
        <v>19000</v>
      </c>
      <c r="E528" t="s">
        <v>293</v>
      </c>
      <c r="F528" t="s">
        <v>295</v>
      </c>
    </row>
    <row r="529" spans="1:6" x14ac:dyDescent="0.25">
      <c r="A529" s="1">
        <v>0</v>
      </c>
      <c r="B529" s="1">
        <v>528</v>
      </c>
      <c r="C529">
        <v>103</v>
      </c>
      <c r="D529">
        <v>86030</v>
      </c>
      <c r="E529" t="s">
        <v>293</v>
      </c>
      <c r="F529" t="s">
        <v>295</v>
      </c>
    </row>
    <row r="530" spans="1:6" x14ac:dyDescent="0.25">
      <c r="A530" s="1">
        <v>0</v>
      </c>
      <c r="B530" s="1">
        <v>529</v>
      </c>
      <c r="C530">
        <v>1</v>
      </c>
      <c r="D530">
        <v>34399</v>
      </c>
      <c r="E530" t="s">
        <v>296</v>
      </c>
      <c r="F530" t="s">
        <v>297</v>
      </c>
    </row>
    <row r="531" spans="1:6" x14ac:dyDescent="0.25">
      <c r="A531" s="1">
        <v>0</v>
      </c>
      <c r="B531" s="1">
        <v>530</v>
      </c>
      <c r="C531">
        <v>2</v>
      </c>
      <c r="D531">
        <v>9000</v>
      </c>
      <c r="E531" t="s">
        <v>296</v>
      </c>
      <c r="F531" t="s">
        <v>297</v>
      </c>
    </row>
    <row r="532" spans="1:6" x14ac:dyDescent="0.25">
      <c r="A532" s="1">
        <v>0</v>
      </c>
      <c r="B532" s="1">
        <v>531</v>
      </c>
      <c r="C532">
        <v>3</v>
      </c>
      <c r="D532">
        <v>69000</v>
      </c>
      <c r="E532" t="s">
        <v>296</v>
      </c>
      <c r="F532" t="s">
        <v>297</v>
      </c>
    </row>
    <row r="533" spans="1:6" x14ac:dyDescent="0.25">
      <c r="A533" s="1">
        <v>0</v>
      </c>
      <c r="B533" s="1">
        <v>532</v>
      </c>
      <c r="C533">
        <v>9</v>
      </c>
      <c r="D533">
        <v>10400</v>
      </c>
      <c r="E533" t="s">
        <v>296</v>
      </c>
      <c r="F533" t="s">
        <v>297</v>
      </c>
    </row>
    <row r="534" spans="1:6" x14ac:dyDescent="0.25">
      <c r="A534" s="1">
        <v>0</v>
      </c>
      <c r="B534" s="1">
        <v>533</v>
      </c>
      <c r="C534">
        <v>10</v>
      </c>
      <c r="D534">
        <v>428000</v>
      </c>
      <c r="E534" t="s">
        <v>296</v>
      </c>
      <c r="F534" t="s">
        <v>297</v>
      </c>
    </row>
    <row r="535" spans="1:6" x14ac:dyDescent="0.25">
      <c r="A535" s="1">
        <v>0</v>
      </c>
      <c r="B535" s="1">
        <v>534</v>
      </c>
      <c r="C535">
        <v>11</v>
      </c>
      <c r="D535">
        <v>807692</v>
      </c>
      <c r="E535" t="s">
        <v>296</v>
      </c>
      <c r="F535" t="s">
        <v>297</v>
      </c>
    </row>
    <row r="536" spans="1:6" x14ac:dyDescent="0.25">
      <c r="A536" s="1">
        <v>0</v>
      </c>
      <c r="B536" s="1">
        <v>535</v>
      </c>
      <c r="C536">
        <v>12</v>
      </c>
      <c r="D536">
        <v>19000</v>
      </c>
      <c r="E536" t="s">
        <v>296</v>
      </c>
      <c r="F536" t="s">
        <v>297</v>
      </c>
    </row>
    <row r="537" spans="1:6" x14ac:dyDescent="0.25">
      <c r="A537" s="1">
        <v>0</v>
      </c>
      <c r="B537" s="1">
        <v>536</v>
      </c>
      <c r="C537">
        <v>13</v>
      </c>
      <c r="D537">
        <v>44800</v>
      </c>
      <c r="E537" t="s">
        <v>296</v>
      </c>
      <c r="F537" t="s">
        <v>297</v>
      </c>
    </row>
    <row r="538" spans="1:6" x14ac:dyDescent="0.25">
      <c r="A538" s="1">
        <v>0</v>
      </c>
      <c r="B538" s="1">
        <v>537</v>
      </c>
      <c r="C538">
        <v>14</v>
      </c>
      <c r="D538">
        <v>750000</v>
      </c>
      <c r="E538" t="s">
        <v>296</v>
      </c>
      <c r="F538" t="s">
        <v>297</v>
      </c>
    </row>
    <row r="539" spans="1:6" x14ac:dyDescent="0.25">
      <c r="A539" s="1">
        <v>0</v>
      </c>
      <c r="B539" s="1">
        <v>538</v>
      </c>
      <c r="C539">
        <v>15</v>
      </c>
      <c r="D539">
        <v>9000</v>
      </c>
      <c r="E539" t="s">
        <v>296</v>
      </c>
      <c r="F539" t="s">
        <v>297</v>
      </c>
    </row>
    <row r="540" spans="1:6" x14ac:dyDescent="0.25">
      <c r="A540" s="1">
        <v>0</v>
      </c>
      <c r="B540" s="1">
        <v>539</v>
      </c>
      <c r="C540">
        <v>16</v>
      </c>
      <c r="D540">
        <v>138500</v>
      </c>
      <c r="E540" t="s">
        <v>296</v>
      </c>
      <c r="F540" t="s">
        <v>297</v>
      </c>
    </row>
    <row r="541" spans="1:6" x14ac:dyDescent="0.25">
      <c r="A541" s="1">
        <v>0</v>
      </c>
      <c r="B541" s="1">
        <v>540</v>
      </c>
      <c r="C541">
        <v>17</v>
      </c>
      <c r="D541">
        <v>872625</v>
      </c>
      <c r="E541" t="s">
        <v>296</v>
      </c>
      <c r="F541" t="s">
        <v>297</v>
      </c>
    </row>
    <row r="542" spans="1:6" x14ac:dyDescent="0.25">
      <c r="A542" s="1">
        <v>0</v>
      </c>
      <c r="B542" s="1">
        <v>541</v>
      </c>
      <c r="C542">
        <v>18</v>
      </c>
      <c r="D542">
        <v>9900</v>
      </c>
      <c r="E542" t="s">
        <v>296</v>
      </c>
      <c r="F542" t="s">
        <v>297</v>
      </c>
    </row>
    <row r="543" spans="1:6" x14ac:dyDescent="0.25">
      <c r="A543" s="1">
        <v>0</v>
      </c>
      <c r="B543" s="1">
        <v>542</v>
      </c>
      <c r="C543">
        <v>19</v>
      </c>
      <c r="D543">
        <v>240000</v>
      </c>
      <c r="E543" t="s">
        <v>296</v>
      </c>
      <c r="F543" t="s">
        <v>297</v>
      </c>
    </row>
    <row r="544" spans="1:6" x14ac:dyDescent="0.25">
      <c r="A544" s="1">
        <v>0</v>
      </c>
      <c r="B544" s="1">
        <v>543</v>
      </c>
      <c r="C544">
        <v>20</v>
      </c>
      <c r="D544">
        <v>750000</v>
      </c>
      <c r="E544" t="s">
        <v>296</v>
      </c>
      <c r="F544" t="s">
        <v>297</v>
      </c>
    </row>
    <row r="545" spans="1:6" x14ac:dyDescent="0.25">
      <c r="A545" s="1">
        <v>0</v>
      </c>
      <c r="B545" s="1">
        <v>544</v>
      </c>
      <c r="C545">
        <v>21</v>
      </c>
      <c r="D545">
        <v>10000</v>
      </c>
      <c r="E545" t="s">
        <v>296</v>
      </c>
      <c r="F545" t="s">
        <v>297</v>
      </c>
    </row>
    <row r="546" spans="1:6" x14ac:dyDescent="0.25">
      <c r="A546" s="1">
        <v>0</v>
      </c>
      <c r="B546" s="1">
        <v>545</v>
      </c>
      <c r="C546">
        <v>22</v>
      </c>
      <c r="D546">
        <v>440000</v>
      </c>
      <c r="E546" t="s">
        <v>296</v>
      </c>
      <c r="F546" t="s">
        <v>297</v>
      </c>
    </row>
    <row r="547" spans="1:6" x14ac:dyDescent="0.25">
      <c r="A547" s="1">
        <v>0</v>
      </c>
      <c r="B547" s="1">
        <v>546</v>
      </c>
      <c r="C547">
        <v>23</v>
      </c>
      <c r="D547">
        <v>828000</v>
      </c>
      <c r="E547" t="s">
        <v>296</v>
      </c>
      <c r="F547" t="s">
        <v>297</v>
      </c>
    </row>
    <row r="548" spans="1:6" x14ac:dyDescent="0.25">
      <c r="A548" s="1">
        <v>0</v>
      </c>
      <c r="B548" s="1">
        <v>547</v>
      </c>
      <c r="C548">
        <v>24</v>
      </c>
      <c r="D548">
        <v>18000</v>
      </c>
      <c r="E548" t="s">
        <v>296</v>
      </c>
      <c r="F548" t="s">
        <v>297</v>
      </c>
    </row>
    <row r="549" spans="1:6" x14ac:dyDescent="0.25">
      <c r="A549" s="1">
        <v>0</v>
      </c>
      <c r="B549" s="1">
        <v>548</v>
      </c>
      <c r="C549">
        <v>25</v>
      </c>
      <c r="D549">
        <v>75000</v>
      </c>
      <c r="E549" t="s">
        <v>296</v>
      </c>
      <c r="F549" t="s">
        <v>297</v>
      </c>
    </row>
    <row r="550" spans="1:6" x14ac:dyDescent="0.25">
      <c r="A550" s="1">
        <v>0</v>
      </c>
      <c r="B550" s="1">
        <v>549</v>
      </c>
      <c r="C550">
        <v>26</v>
      </c>
      <c r="D550">
        <v>578999</v>
      </c>
      <c r="E550" t="s">
        <v>296</v>
      </c>
      <c r="F550" t="s">
        <v>297</v>
      </c>
    </row>
    <row r="551" spans="1:6" x14ac:dyDescent="0.25">
      <c r="A551" s="1">
        <v>0</v>
      </c>
      <c r="B551" s="1">
        <v>550</v>
      </c>
      <c r="C551">
        <v>101</v>
      </c>
      <c r="D551">
        <v>13600</v>
      </c>
      <c r="E551" t="s">
        <v>296</v>
      </c>
      <c r="F551" t="s">
        <v>297</v>
      </c>
    </row>
    <row r="552" spans="1:6" x14ac:dyDescent="0.25">
      <c r="A552" s="1">
        <v>0</v>
      </c>
      <c r="B552" s="1">
        <v>551</v>
      </c>
      <c r="C552">
        <v>102</v>
      </c>
      <c r="D552">
        <v>19000</v>
      </c>
      <c r="E552" t="s">
        <v>296</v>
      </c>
      <c r="F552" t="s">
        <v>297</v>
      </c>
    </row>
    <row r="553" spans="1:6" x14ac:dyDescent="0.25">
      <c r="A553" s="1">
        <v>0</v>
      </c>
      <c r="B553" s="1">
        <v>552</v>
      </c>
      <c r="C553">
        <v>103</v>
      </c>
      <c r="D553">
        <v>86030</v>
      </c>
      <c r="E553" t="s">
        <v>296</v>
      </c>
      <c r="F553" t="s">
        <v>297</v>
      </c>
    </row>
    <row r="554" spans="1:6" x14ac:dyDescent="0.25">
      <c r="A554" s="1">
        <v>0</v>
      </c>
      <c r="B554" s="1">
        <v>553</v>
      </c>
      <c r="C554">
        <v>1</v>
      </c>
      <c r="D554">
        <v>12500</v>
      </c>
      <c r="E554" t="s">
        <v>296</v>
      </c>
      <c r="F554" t="s">
        <v>298</v>
      </c>
    </row>
    <row r="555" spans="1:6" x14ac:dyDescent="0.25">
      <c r="A555" s="1">
        <v>0</v>
      </c>
      <c r="B555" s="1">
        <v>554</v>
      </c>
      <c r="C555">
        <v>2</v>
      </c>
      <c r="D555">
        <v>8900</v>
      </c>
      <c r="E555" t="s">
        <v>296</v>
      </c>
      <c r="F555" t="s">
        <v>298</v>
      </c>
    </row>
    <row r="556" spans="1:6" x14ac:dyDescent="0.25">
      <c r="A556" s="1">
        <v>0</v>
      </c>
      <c r="B556" s="1">
        <v>555</v>
      </c>
      <c r="C556">
        <v>3</v>
      </c>
      <c r="D556">
        <v>61500</v>
      </c>
      <c r="E556" t="s">
        <v>296</v>
      </c>
      <c r="F556" t="s">
        <v>298</v>
      </c>
    </row>
    <row r="557" spans="1:6" x14ac:dyDescent="0.25">
      <c r="A557" s="1">
        <v>0</v>
      </c>
      <c r="B557" s="1">
        <v>556</v>
      </c>
      <c r="C557">
        <v>9</v>
      </c>
      <c r="D557">
        <v>9800</v>
      </c>
      <c r="E557" t="s">
        <v>296</v>
      </c>
      <c r="F557" t="s">
        <v>298</v>
      </c>
    </row>
    <row r="558" spans="1:6" x14ac:dyDescent="0.25">
      <c r="A558" s="1">
        <v>0</v>
      </c>
      <c r="B558" s="1">
        <v>557</v>
      </c>
      <c r="C558">
        <v>10</v>
      </c>
      <c r="D558">
        <v>409999</v>
      </c>
      <c r="E558" t="s">
        <v>296</v>
      </c>
      <c r="F558" t="s">
        <v>298</v>
      </c>
    </row>
    <row r="559" spans="1:6" x14ac:dyDescent="0.25">
      <c r="A559" s="1">
        <v>0</v>
      </c>
      <c r="B559" s="1">
        <v>558</v>
      </c>
      <c r="C559">
        <v>11</v>
      </c>
      <c r="D559">
        <v>807692</v>
      </c>
      <c r="E559" t="s">
        <v>296</v>
      </c>
      <c r="F559" t="s">
        <v>298</v>
      </c>
    </row>
    <row r="560" spans="1:6" x14ac:dyDescent="0.25">
      <c r="A560" s="1">
        <v>0</v>
      </c>
      <c r="B560" s="1">
        <v>559</v>
      </c>
      <c r="C560">
        <v>12</v>
      </c>
      <c r="D560">
        <v>9900</v>
      </c>
      <c r="E560" t="s">
        <v>296</v>
      </c>
      <c r="F560" t="s">
        <v>298</v>
      </c>
    </row>
    <row r="561" spans="1:6" x14ac:dyDescent="0.25">
      <c r="A561" s="1">
        <v>0</v>
      </c>
      <c r="B561" s="1">
        <v>560</v>
      </c>
      <c r="C561">
        <v>13</v>
      </c>
      <c r="D561">
        <v>44800</v>
      </c>
      <c r="E561" t="s">
        <v>296</v>
      </c>
      <c r="F561" t="s">
        <v>298</v>
      </c>
    </row>
    <row r="562" spans="1:6" x14ac:dyDescent="0.25">
      <c r="A562" s="1">
        <v>0</v>
      </c>
      <c r="B562" s="1">
        <v>561</v>
      </c>
      <c r="C562">
        <v>14</v>
      </c>
      <c r="D562">
        <v>750000</v>
      </c>
      <c r="E562" t="s">
        <v>296</v>
      </c>
      <c r="F562" t="s">
        <v>298</v>
      </c>
    </row>
    <row r="563" spans="1:6" x14ac:dyDescent="0.25">
      <c r="A563" s="1">
        <v>0</v>
      </c>
      <c r="B563" s="1">
        <v>562</v>
      </c>
      <c r="C563">
        <v>15</v>
      </c>
      <c r="D563">
        <v>9000</v>
      </c>
      <c r="E563" t="s">
        <v>296</v>
      </c>
      <c r="F563" t="s">
        <v>298</v>
      </c>
    </row>
    <row r="564" spans="1:6" x14ac:dyDescent="0.25">
      <c r="A564" s="1">
        <v>0</v>
      </c>
      <c r="B564" s="1">
        <v>563</v>
      </c>
      <c r="C564">
        <v>16</v>
      </c>
      <c r="D564">
        <v>138500</v>
      </c>
      <c r="E564" t="s">
        <v>296</v>
      </c>
      <c r="F564" t="s">
        <v>298</v>
      </c>
    </row>
    <row r="565" spans="1:6" x14ac:dyDescent="0.25">
      <c r="A565" s="1">
        <v>0</v>
      </c>
      <c r="B565" s="1">
        <v>564</v>
      </c>
      <c r="C565">
        <v>17</v>
      </c>
      <c r="D565">
        <v>872625</v>
      </c>
      <c r="E565" t="s">
        <v>296</v>
      </c>
      <c r="F565" t="s">
        <v>298</v>
      </c>
    </row>
    <row r="566" spans="1:6" x14ac:dyDescent="0.25">
      <c r="A566" s="1">
        <v>0</v>
      </c>
      <c r="B566" s="1">
        <v>565</v>
      </c>
      <c r="C566">
        <v>18</v>
      </c>
      <c r="D566">
        <v>9399</v>
      </c>
      <c r="E566" t="s">
        <v>296</v>
      </c>
      <c r="F566" t="s">
        <v>298</v>
      </c>
    </row>
    <row r="567" spans="1:6" x14ac:dyDescent="0.25">
      <c r="A567" s="1">
        <v>0</v>
      </c>
      <c r="B567" s="1">
        <v>566</v>
      </c>
      <c r="C567">
        <v>19</v>
      </c>
      <c r="D567">
        <v>300000</v>
      </c>
      <c r="E567" t="s">
        <v>296</v>
      </c>
      <c r="F567" t="s">
        <v>298</v>
      </c>
    </row>
    <row r="568" spans="1:6" x14ac:dyDescent="0.25">
      <c r="A568" s="1">
        <v>0</v>
      </c>
      <c r="B568" s="1">
        <v>567</v>
      </c>
      <c r="C568">
        <v>20</v>
      </c>
      <c r="D568">
        <v>750000</v>
      </c>
      <c r="E568" t="s">
        <v>296</v>
      </c>
      <c r="F568" t="s">
        <v>298</v>
      </c>
    </row>
    <row r="569" spans="1:6" x14ac:dyDescent="0.25">
      <c r="A569" s="1">
        <v>0</v>
      </c>
      <c r="B569" s="1">
        <v>568</v>
      </c>
      <c r="C569">
        <v>21</v>
      </c>
      <c r="D569">
        <v>8900</v>
      </c>
      <c r="E569" t="s">
        <v>296</v>
      </c>
      <c r="F569" t="s">
        <v>298</v>
      </c>
    </row>
    <row r="570" spans="1:6" x14ac:dyDescent="0.25">
      <c r="A570" s="1">
        <v>0</v>
      </c>
      <c r="B570" s="1">
        <v>569</v>
      </c>
      <c r="C570">
        <v>22</v>
      </c>
      <c r="D570">
        <v>306000</v>
      </c>
      <c r="E570" t="s">
        <v>296</v>
      </c>
      <c r="F570" t="s">
        <v>298</v>
      </c>
    </row>
    <row r="571" spans="1:6" x14ac:dyDescent="0.25">
      <c r="A571" s="1">
        <v>0</v>
      </c>
      <c r="B571" s="1">
        <v>570</v>
      </c>
      <c r="C571">
        <v>23</v>
      </c>
      <c r="D571">
        <v>828000</v>
      </c>
      <c r="E571" t="s">
        <v>296</v>
      </c>
      <c r="F571" t="s">
        <v>298</v>
      </c>
    </row>
    <row r="572" spans="1:6" x14ac:dyDescent="0.25">
      <c r="A572" s="1">
        <v>0</v>
      </c>
      <c r="B572" s="1">
        <v>571</v>
      </c>
      <c r="C572">
        <v>24</v>
      </c>
      <c r="D572">
        <v>10000</v>
      </c>
      <c r="E572" t="s">
        <v>296</v>
      </c>
      <c r="F572" t="s">
        <v>298</v>
      </c>
    </row>
    <row r="573" spans="1:6" x14ac:dyDescent="0.25">
      <c r="A573" s="1">
        <v>0</v>
      </c>
      <c r="B573" s="1">
        <v>572</v>
      </c>
      <c r="C573">
        <v>25</v>
      </c>
      <c r="D573">
        <v>107000</v>
      </c>
      <c r="E573" t="s">
        <v>296</v>
      </c>
      <c r="F573" t="s">
        <v>298</v>
      </c>
    </row>
    <row r="574" spans="1:6" x14ac:dyDescent="0.25">
      <c r="A574" s="1">
        <v>0</v>
      </c>
      <c r="B574" s="1">
        <v>573</v>
      </c>
      <c r="C574">
        <v>26</v>
      </c>
      <c r="D574">
        <v>578999</v>
      </c>
      <c r="E574" t="s">
        <v>296</v>
      </c>
      <c r="F574" t="s">
        <v>298</v>
      </c>
    </row>
    <row r="575" spans="1:6" x14ac:dyDescent="0.25">
      <c r="A575" s="1">
        <v>0</v>
      </c>
      <c r="B575" s="1">
        <v>574</v>
      </c>
      <c r="C575">
        <v>101</v>
      </c>
      <c r="D575">
        <v>13600</v>
      </c>
      <c r="E575" t="s">
        <v>296</v>
      </c>
      <c r="F575" t="s">
        <v>298</v>
      </c>
    </row>
    <row r="576" spans="1:6" x14ac:dyDescent="0.25">
      <c r="A576" s="1">
        <v>0</v>
      </c>
      <c r="B576" s="1">
        <v>575</v>
      </c>
      <c r="C576">
        <v>102</v>
      </c>
      <c r="D576">
        <v>19000</v>
      </c>
      <c r="E576" t="s">
        <v>296</v>
      </c>
      <c r="F576" t="s">
        <v>298</v>
      </c>
    </row>
    <row r="577" spans="1:6" x14ac:dyDescent="0.25">
      <c r="A577" s="1">
        <v>0</v>
      </c>
      <c r="B577" s="1">
        <v>576</v>
      </c>
      <c r="C577">
        <v>103</v>
      </c>
      <c r="D577">
        <v>86030</v>
      </c>
      <c r="E577" t="s">
        <v>296</v>
      </c>
      <c r="F577" t="s">
        <v>298</v>
      </c>
    </row>
    <row r="578" spans="1:6" x14ac:dyDescent="0.25">
      <c r="A578" s="1">
        <v>0</v>
      </c>
      <c r="B578" s="1">
        <v>577</v>
      </c>
      <c r="C578">
        <v>1</v>
      </c>
      <c r="D578">
        <v>12500</v>
      </c>
      <c r="E578" t="s">
        <v>299</v>
      </c>
      <c r="F578" t="s">
        <v>300</v>
      </c>
    </row>
    <row r="579" spans="1:6" x14ac:dyDescent="0.25">
      <c r="A579" s="1">
        <v>0</v>
      </c>
      <c r="B579" s="1">
        <v>578</v>
      </c>
      <c r="C579">
        <v>2</v>
      </c>
      <c r="D579">
        <v>7200</v>
      </c>
      <c r="E579" t="s">
        <v>299</v>
      </c>
      <c r="F579" t="s">
        <v>300</v>
      </c>
    </row>
    <row r="580" spans="1:6" x14ac:dyDescent="0.25">
      <c r="A580" s="1">
        <v>0</v>
      </c>
      <c r="B580" s="1">
        <v>579</v>
      </c>
      <c r="C580">
        <v>3</v>
      </c>
      <c r="D580">
        <v>60500</v>
      </c>
      <c r="E580" t="s">
        <v>299</v>
      </c>
      <c r="F580" t="s">
        <v>300</v>
      </c>
    </row>
    <row r="581" spans="1:6" x14ac:dyDescent="0.25">
      <c r="A581" s="1">
        <v>0</v>
      </c>
      <c r="B581" s="1">
        <v>580</v>
      </c>
      <c r="C581">
        <v>9</v>
      </c>
      <c r="D581">
        <v>9100</v>
      </c>
      <c r="E581" t="s">
        <v>299</v>
      </c>
      <c r="F581" t="s">
        <v>300</v>
      </c>
    </row>
    <row r="582" spans="1:6" x14ac:dyDescent="0.25">
      <c r="A582" s="1">
        <v>0</v>
      </c>
      <c r="B582" s="1">
        <v>581</v>
      </c>
      <c r="C582">
        <v>10</v>
      </c>
      <c r="D582">
        <v>347000</v>
      </c>
      <c r="E582" t="s">
        <v>299</v>
      </c>
      <c r="F582" t="s">
        <v>300</v>
      </c>
    </row>
    <row r="583" spans="1:6" x14ac:dyDescent="0.25">
      <c r="A583" s="1">
        <v>0</v>
      </c>
      <c r="B583" s="1">
        <v>582</v>
      </c>
      <c r="C583">
        <v>11</v>
      </c>
      <c r="D583">
        <v>807692</v>
      </c>
      <c r="E583" t="s">
        <v>299</v>
      </c>
      <c r="F583" t="s">
        <v>300</v>
      </c>
    </row>
    <row r="584" spans="1:6" x14ac:dyDescent="0.25">
      <c r="A584" s="1">
        <v>0</v>
      </c>
      <c r="B584" s="1">
        <v>583</v>
      </c>
      <c r="C584">
        <v>12</v>
      </c>
      <c r="D584">
        <v>9800</v>
      </c>
      <c r="E584" t="s">
        <v>299</v>
      </c>
      <c r="F584" t="s">
        <v>300</v>
      </c>
    </row>
    <row r="585" spans="1:6" x14ac:dyDescent="0.25">
      <c r="A585" s="1">
        <v>0</v>
      </c>
      <c r="B585" s="1">
        <v>584</v>
      </c>
      <c r="C585">
        <v>13</v>
      </c>
      <c r="D585">
        <v>44800</v>
      </c>
      <c r="E585" t="s">
        <v>299</v>
      </c>
      <c r="F585" t="s">
        <v>300</v>
      </c>
    </row>
    <row r="586" spans="1:6" x14ac:dyDescent="0.25">
      <c r="A586" s="1">
        <v>0</v>
      </c>
      <c r="B586" s="1">
        <v>585</v>
      </c>
      <c r="C586">
        <v>14</v>
      </c>
      <c r="D586">
        <v>750000</v>
      </c>
      <c r="E586" t="s">
        <v>299</v>
      </c>
      <c r="F586" t="s">
        <v>300</v>
      </c>
    </row>
    <row r="587" spans="1:6" x14ac:dyDescent="0.25">
      <c r="A587" s="1">
        <v>0</v>
      </c>
      <c r="B587" s="1">
        <v>586</v>
      </c>
      <c r="C587">
        <v>15</v>
      </c>
      <c r="D587">
        <v>9000</v>
      </c>
      <c r="E587" t="s">
        <v>299</v>
      </c>
      <c r="F587" t="s">
        <v>300</v>
      </c>
    </row>
    <row r="588" spans="1:6" x14ac:dyDescent="0.25">
      <c r="A588" s="1">
        <v>0</v>
      </c>
      <c r="B588" s="1">
        <v>587</v>
      </c>
      <c r="C588">
        <v>16</v>
      </c>
      <c r="D588">
        <v>138500</v>
      </c>
      <c r="E588" t="s">
        <v>299</v>
      </c>
      <c r="F588" t="s">
        <v>300</v>
      </c>
    </row>
    <row r="589" spans="1:6" x14ac:dyDescent="0.25">
      <c r="A589" s="1">
        <v>0</v>
      </c>
      <c r="B589" s="1">
        <v>588</v>
      </c>
      <c r="C589">
        <v>17</v>
      </c>
      <c r="D589">
        <v>872625</v>
      </c>
      <c r="E589" t="s">
        <v>299</v>
      </c>
      <c r="F589" t="s">
        <v>300</v>
      </c>
    </row>
    <row r="590" spans="1:6" x14ac:dyDescent="0.25">
      <c r="A590" s="1">
        <v>0</v>
      </c>
      <c r="B590" s="1">
        <v>589</v>
      </c>
      <c r="C590">
        <v>18</v>
      </c>
      <c r="D590">
        <v>4800</v>
      </c>
      <c r="E590" t="s">
        <v>299</v>
      </c>
      <c r="F590" t="s">
        <v>300</v>
      </c>
    </row>
    <row r="591" spans="1:6" x14ac:dyDescent="0.25">
      <c r="A591" s="1">
        <v>0</v>
      </c>
      <c r="B591" s="1">
        <v>590</v>
      </c>
      <c r="C591">
        <v>19</v>
      </c>
      <c r="D591">
        <v>296000</v>
      </c>
      <c r="E591" t="s">
        <v>299</v>
      </c>
      <c r="F591" t="s">
        <v>300</v>
      </c>
    </row>
    <row r="592" spans="1:6" x14ac:dyDescent="0.25">
      <c r="A592" s="1">
        <v>0</v>
      </c>
      <c r="B592" s="1">
        <v>591</v>
      </c>
      <c r="C592">
        <v>20</v>
      </c>
      <c r="D592">
        <v>750000</v>
      </c>
      <c r="E592" t="s">
        <v>299</v>
      </c>
      <c r="F592" t="s">
        <v>300</v>
      </c>
    </row>
    <row r="593" spans="1:6" x14ac:dyDescent="0.25">
      <c r="A593" s="1">
        <v>0</v>
      </c>
      <c r="B593" s="1">
        <v>592</v>
      </c>
      <c r="C593">
        <v>21</v>
      </c>
      <c r="D593">
        <v>8100</v>
      </c>
      <c r="E593" t="s">
        <v>299</v>
      </c>
      <c r="F593" t="s">
        <v>300</v>
      </c>
    </row>
    <row r="594" spans="1:6" x14ac:dyDescent="0.25">
      <c r="A594" s="1">
        <v>0</v>
      </c>
      <c r="B594" s="1">
        <v>593</v>
      </c>
      <c r="C594">
        <v>22</v>
      </c>
      <c r="D594">
        <v>253000</v>
      </c>
      <c r="E594" t="s">
        <v>299</v>
      </c>
      <c r="F594" t="s">
        <v>300</v>
      </c>
    </row>
    <row r="595" spans="1:6" x14ac:dyDescent="0.25">
      <c r="A595" s="1">
        <v>0</v>
      </c>
      <c r="B595" s="1">
        <v>594</v>
      </c>
      <c r="C595">
        <v>23</v>
      </c>
      <c r="D595">
        <v>828000</v>
      </c>
      <c r="E595" t="s">
        <v>299</v>
      </c>
      <c r="F595" t="s">
        <v>300</v>
      </c>
    </row>
    <row r="596" spans="1:6" x14ac:dyDescent="0.25">
      <c r="A596" s="1">
        <v>0</v>
      </c>
      <c r="B596" s="1">
        <v>595</v>
      </c>
      <c r="C596">
        <v>24</v>
      </c>
      <c r="D596">
        <v>11400</v>
      </c>
      <c r="E596" t="s">
        <v>299</v>
      </c>
      <c r="F596" t="s">
        <v>300</v>
      </c>
    </row>
    <row r="597" spans="1:6" x14ac:dyDescent="0.25">
      <c r="A597" s="1">
        <v>0</v>
      </c>
      <c r="B597" s="1">
        <v>596</v>
      </c>
      <c r="C597">
        <v>25</v>
      </c>
      <c r="D597">
        <v>98500</v>
      </c>
      <c r="E597" t="s">
        <v>299</v>
      </c>
      <c r="F597" t="s">
        <v>300</v>
      </c>
    </row>
    <row r="598" spans="1:6" x14ac:dyDescent="0.25">
      <c r="A598" s="1">
        <v>0</v>
      </c>
      <c r="B598" s="1">
        <v>597</v>
      </c>
      <c r="C598">
        <v>26</v>
      </c>
      <c r="D598">
        <v>578999</v>
      </c>
      <c r="E598" t="s">
        <v>299</v>
      </c>
      <c r="F598" t="s">
        <v>300</v>
      </c>
    </row>
    <row r="599" spans="1:6" x14ac:dyDescent="0.25">
      <c r="A599" s="1">
        <v>0</v>
      </c>
      <c r="B599" s="1">
        <v>598</v>
      </c>
      <c r="C599">
        <v>101</v>
      </c>
      <c r="D599">
        <v>13600</v>
      </c>
      <c r="E599" t="s">
        <v>299</v>
      </c>
      <c r="F599" t="s">
        <v>300</v>
      </c>
    </row>
    <row r="600" spans="1:6" x14ac:dyDescent="0.25">
      <c r="A600" s="1">
        <v>0</v>
      </c>
      <c r="B600" s="1">
        <v>599</v>
      </c>
      <c r="C600">
        <v>102</v>
      </c>
      <c r="D600">
        <v>19000</v>
      </c>
      <c r="E600" t="s">
        <v>299</v>
      </c>
      <c r="F600" t="s">
        <v>300</v>
      </c>
    </row>
    <row r="601" spans="1:6" x14ac:dyDescent="0.25">
      <c r="A601" s="1">
        <v>0</v>
      </c>
      <c r="B601" s="1">
        <v>600</v>
      </c>
      <c r="C601">
        <v>103</v>
      </c>
      <c r="D601">
        <v>86030</v>
      </c>
      <c r="E601" t="s">
        <v>299</v>
      </c>
      <c r="F601" t="s">
        <v>300</v>
      </c>
    </row>
    <row r="602" spans="1:6" x14ac:dyDescent="0.25">
      <c r="A602" s="1">
        <v>0</v>
      </c>
      <c r="B602" s="1">
        <v>601</v>
      </c>
      <c r="C602">
        <v>1</v>
      </c>
      <c r="D602">
        <v>12400</v>
      </c>
      <c r="E602" t="s">
        <v>299</v>
      </c>
      <c r="F602" t="s">
        <v>301</v>
      </c>
    </row>
    <row r="603" spans="1:6" x14ac:dyDescent="0.25">
      <c r="A603" s="1">
        <v>0</v>
      </c>
      <c r="B603" s="1">
        <v>602</v>
      </c>
      <c r="C603">
        <v>2</v>
      </c>
      <c r="D603">
        <v>6900</v>
      </c>
      <c r="E603" t="s">
        <v>299</v>
      </c>
      <c r="F603" t="s">
        <v>301</v>
      </c>
    </row>
    <row r="604" spans="1:6" x14ac:dyDescent="0.25">
      <c r="A604" s="1">
        <v>0</v>
      </c>
      <c r="B604" s="1">
        <v>603</v>
      </c>
      <c r="C604">
        <v>3</v>
      </c>
      <c r="D604">
        <v>59500</v>
      </c>
      <c r="E604" t="s">
        <v>299</v>
      </c>
      <c r="F604" t="s">
        <v>301</v>
      </c>
    </row>
    <row r="605" spans="1:6" x14ac:dyDescent="0.25">
      <c r="A605" s="1">
        <v>0</v>
      </c>
      <c r="B605" s="1">
        <v>604</v>
      </c>
      <c r="C605">
        <v>9</v>
      </c>
      <c r="D605">
        <v>9100</v>
      </c>
      <c r="E605" t="s">
        <v>299</v>
      </c>
      <c r="F605" t="s">
        <v>301</v>
      </c>
    </row>
    <row r="606" spans="1:6" x14ac:dyDescent="0.25">
      <c r="A606" s="1">
        <v>0</v>
      </c>
      <c r="B606" s="1">
        <v>605</v>
      </c>
      <c r="C606">
        <v>10</v>
      </c>
      <c r="D606">
        <v>408000</v>
      </c>
      <c r="E606" t="s">
        <v>299</v>
      </c>
      <c r="F606" t="s">
        <v>301</v>
      </c>
    </row>
    <row r="607" spans="1:6" x14ac:dyDescent="0.25">
      <c r="A607" s="1">
        <v>0</v>
      </c>
      <c r="B607" s="1">
        <v>606</v>
      </c>
      <c r="C607">
        <v>11</v>
      </c>
      <c r="D607">
        <v>807692</v>
      </c>
      <c r="E607" t="s">
        <v>299</v>
      </c>
      <c r="F607" t="s">
        <v>301</v>
      </c>
    </row>
    <row r="608" spans="1:6" x14ac:dyDescent="0.25">
      <c r="A608" s="1">
        <v>0</v>
      </c>
      <c r="B608" s="1">
        <v>607</v>
      </c>
      <c r="C608">
        <v>12</v>
      </c>
      <c r="D608">
        <v>9800</v>
      </c>
      <c r="E608" t="s">
        <v>299</v>
      </c>
      <c r="F608" t="s">
        <v>301</v>
      </c>
    </row>
    <row r="609" spans="1:6" x14ac:dyDescent="0.25">
      <c r="A609" s="1">
        <v>0</v>
      </c>
      <c r="B609" s="1">
        <v>608</v>
      </c>
      <c r="C609">
        <v>13</v>
      </c>
      <c r="D609">
        <v>44800</v>
      </c>
      <c r="E609" t="s">
        <v>299</v>
      </c>
      <c r="F609" t="s">
        <v>301</v>
      </c>
    </row>
    <row r="610" spans="1:6" x14ac:dyDescent="0.25">
      <c r="A610" s="1">
        <v>0</v>
      </c>
      <c r="B610" s="1">
        <v>609</v>
      </c>
      <c r="C610">
        <v>14</v>
      </c>
      <c r="D610">
        <v>750000</v>
      </c>
      <c r="E610" t="s">
        <v>299</v>
      </c>
      <c r="F610" t="s">
        <v>301</v>
      </c>
    </row>
    <row r="611" spans="1:6" x14ac:dyDescent="0.25">
      <c r="A611" s="1">
        <v>0</v>
      </c>
      <c r="B611" s="1">
        <v>610</v>
      </c>
      <c r="C611">
        <v>15</v>
      </c>
      <c r="D611">
        <v>9000</v>
      </c>
      <c r="E611" t="s">
        <v>299</v>
      </c>
      <c r="F611" t="s">
        <v>301</v>
      </c>
    </row>
    <row r="612" spans="1:6" x14ac:dyDescent="0.25">
      <c r="A612" s="1">
        <v>0</v>
      </c>
      <c r="B612" s="1">
        <v>611</v>
      </c>
      <c r="C612">
        <v>16</v>
      </c>
      <c r="D612">
        <v>138500</v>
      </c>
      <c r="E612" t="s">
        <v>299</v>
      </c>
      <c r="F612" t="s">
        <v>301</v>
      </c>
    </row>
    <row r="613" spans="1:6" x14ac:dyDescent="0.25">
      <c r="A613" s="1">
        <v>0</v>
      </c>
      <c r="B613" s="1">
        <v>612</v>
      </c>
      <c r="C613">
        <v>17</v>
      </c>
      <c r="D613">
        <v>872625</v>
      </c>
      <c r="E613" t="s">
        <v>299</v>
      </c>
      <c r="F613" t="s">
        <v>301</v>
      </c>
    </row>
    <row r="614" spans="1:6" x14ac:dyDescent="0.25">
      <c r="A614" s="1">
        <v>0</v>
      </c>
      <c r="B614" s="1">
        <v>613</v>
      </c>
      <c r="C614">
        <v>18</v>
      </c>
      <c r="D614">
        <v>4700</v>
      </c>
      <c r="E614" t="s">
        <v>299</v>
      </c>
      <c r="F614" t="s">
        <v>301</v>
      </c>
    </row>
    <row r="615" spans="1:6" x14ac:dyDescent="0.25">
      <c r="A615" s="1">
        <v>0</v>
      </c>
      <c r="B615" s="1">
        <v>614</v>
      </c>
      <c r="C615">
        <v>19</v>
      </c>
      <c r="D615">
        <v>296000</v>
      </c>
      <c r="E615" t="s">
        <v>299</v>
      </c>
      <c r="F615" t="s">
        <v>301</v>
      </c>
    </row>
    <row r="616" spans="1:6" x14ac:dyDescent="0.25">
      <c r="A616" s="1">
        <v>0</v>
      </c>
      <c r="B616" s="1">
        <v>615</v>
      </c>
      <c r="C616">
        <v>20</v>
      </c>
      <c r="D616">
        <v>750000</v>
      </c>
      <c r="E616" t="s">
        <v>299</v>
      </c>
      <c r="F616" t="s">
        <v>301</v>
      </c>
    </row>
    <row r="617" spans="1:6" x14ac:dyDescent="0.25">
      <c r="A617" s="1">
        <v>0</v>
      </c>
      <c r="B617" s="1">
        <v>616</v>
      </c>
      <c r="C617">
        <v>21</v>
      </c>
      <c r="D617">
        <v>7700</v>
      </c>
      <c r="E617" t="s">
        <v>299</v>
      </c>
      <c r="F617" t="s">
        <v>301</v>
      </c>
    </row>
    <row r="618" spans="1:6" x14ac:dyDescent="0.25">
      <c r="A618" s="1">
        <v>0</v>
      </c>
      <c r="B618" s="1">
        <v>617</v>
      </c>
      <c r="C618">
        <v>22</v>
      </c>
      <c r="D618">
        <v>249999</v>
      </c>
      <c r="E618" t="s">
        <v>299</v>
      </c>
      <c r="F618" t="s">
        <v>301</v>
      </c>
    </row>
    <row r="619" spans="1:6" x14ac:dyDescent="0.25">
      <c r="A619" s="1">
        <v>0</v>
      </c>
      <c r="B619" s="1">
        <v>618</v>
      </c>
      <c r="C619">
        <v>23</v>
      </c>
      <c r="D619">
        <v>828000</v>
      </c>
      <c r="E619" t="s">
        <v>299</v>
      </c>
      <c r="F619" t="s">
        <v>301</v>
      </c>
    </row>
    <row r="620" spans="1:6" x14ac:dyDescent="0.25">
      <c r="A620" s="1">
        <v>0</v>
      </c>
      <c r="B620" s="1">
        <v>619</v>
      </c>
      <c r="C620">
        <v>24</v>
      </c>
      <c r="D620">
        <v>11200</v>
      </c>
      <c r="E620" t="s">
        <v>299</v>
      </c>
      <c r="F620" t="s">
        <v>301</v>
      </c>
    </row>
    <row r="621" spans="1:6" x14ac:dyDescent="0.25">
      <c r="A621" s="1">
        <v>0</v>
      </c>
      <c r="B621" s="1">
        <v>620</v>
      </c>
      <c r="C621">
        <v>25</v>
      </c>
      <c r="D621">
        <v>97000</v>
      </c>
      <c r="E621" t="s">
        <v>299</v>
      </c>
      <c r="F621" t="s">
        <v>301</v>
      </c>
    </row>
    <row r="622" spans="1:6" x14ac:dyDescent="0.25">
      <c r="A622" s="1">
        <v>0</v>
      </c>
      <c r="B622" s="1">
        <v>621</v>
      </c>
      <c r="C622">
        <v>26</v>
      </c>
      <c r="D622">
        <v>578999</v>
      </c>
      <c r="E622" t="s">
        <v>299</v>
      </c>
      <c r="F622" t="s">
        <v>301</v>
      </c>
    </row>
    <row r="623" spans="1:6" x14ac:dyDescent="0.25">
      <c r="A623" s="1">
        <v>0</v>
      </c>
      <c r="B623" s="1">
        <v>622</v>
      </c>
      <c r="C623">
        <v>101</v>
      </c>
      <c r="D623">
        <v>13600</v>
      </c>
      <c r="E623" t="s">
        <v>299</v>
      </c>
      <c r="F623" t="s">
        <v>301</v>
      </c>
    </row>
    <row r="624" spans="1:6" x14ac:dyDescent="0.25">
      <c r="A624" s="1">
        <v>0</v>
      </c>
      <c r="B624" s="1">
        <v>623</v>
      </c>
      <c r="C624">
        <v>102</v>
      </c>
      <c r="D624">
        <v>19000</v>
      </c>
      <c r="E624" t="s">
        <v>299</v>
      </c>
      <c r="F624" t="s">
        <v>301</v>
      </c>
    </row>
    <row r="625" spans="1:6" x14ac:dyDescent="0.25">
      <c r="A625" s="1">
        <v>0</v>
      </c>
      <c r="B625" s="1">
        <v>624</v>
      </c>
      <c r="C625">
        <v>103</v>
      </c>
      <c r="D625">
        <v>86030</v>
      </c>
      <c r="E625" t="s">
        <v>299</v>
      </c>
      <c r="F625" t="s">
        <v>301</v>
      </c>
    </row>
    <row r="626" spans="1:6" x14ac:dyDescent="0.25">
      <c r="A626" s="1">
        <v>0</v>
      </c>
      <c r="B626" s="1">
        <v>625</v>
      </c>
      <c r="C626">
        <v>1</v>
      </c>
      <c r="D626">
        <v>29800</v>
      </c>
      <c r="E626" t="s">
        <v>299</v>
      </c>
      <c r="F626" t="s">
        <v>302</v>
      </c>
    </row>
    <row r="627" spans="1:6" x14ac:dyDescent="0.25">
      <c r="A627" s="1">
        <v>0</v>
      </c>
      <c r="B627" s="1">
        <v>626</v>
      </c>
      <c r="C627">
        <v>2</v>
      </c>
      <c r="D627">
        <v>9800</v>
      </c>
      <c r="E627" t="s">
        <v>299</v>
      </c>
      <c r="F627" t="s">
        <v>302</v>
      </c>
    </row>
    <row r="628" spans="1:6" x14ac:dyDescent="0.25">
      <c r="A628" s="1">
        <v>0</v>
      </c>
      <c r="B628" s="1">
        <v>627</v>
      </c>
      <c r="C628">
        <v>3</v>
      </c>
      <c r="D628">
        <v>61500</v>
      </c>
      <c r="E628" t="s">
        <v>299</v>
      </c>
      <c r="F628" t="s">
        <v>302</v>
      </c>
    </row>
    <row r="629" spans="1:6" x14ac:dyDescent="0.25">
      <c r="A629" s="1">
        <v>0</v>
      </c>
      <c r="B629" s="1">
        <v>628</v>
      </c>
      <c r="C629">
        <v>9</v>
      </c>
      <c r="D629">
        <v>9100</v>
      </c>
      <c r="E629" t="s">
        <v>299</v>
      </c>
      <c r="F629" t="s">
        <v>302</v>
      </c>
    </row>
    <row r="630" spans="1:6" x14ac:dyDescent="0.25">
      <c r="A630" s="1">
        <v>0</v>
      </c>
      <c r="B630" s="1">
        <v>629</v>
      </c>
      <c r="C630">
        <v>10</v>
      </c>
      <c r="D630">
        <v>407000</v>
      </c>
      <c r="E630" t="s">
        <v>299</v>
      </c>
      <c r="F630" t="s">
        <v>302</v>
      </c>
    </row>
    <row r="631" spans="1:6" x14ac:dyDescent="0.25">
      <c r="A631" s="1">
        <v>0</v>
      </c>
      <c r="B631" s="1">
        <v>630</v>
      </c>
      <c r="C631">
        <v>11</v>
      </c>
      <c r="D631">
        <v>807692</v>
      </c>
      <c r="E631" t="s">
        <v>299</v>
      </c>
      <c r="F631" t="s">
        <v>302</v>
      </c>
    </row>
    <row r="632" spans="1:6" x14ac:dyDescent="0.25">
      <c r="A632" s="1">
        <v>0</v>
      </c>
      <c r="B632" s="1">
        <v>631</v>
      </c>
      <c r="C632">
        <v>12</v>
      </c>
      <c r="D632">
        <v>17000</v>
      </c>
      <c r="E632" t="s">
        <v>299</v>
      </c>
      <c r="F632" t="s">
        <v>302</v>
      </c>
    </row>
    <row r="633" spans="1:6" x14ac:dyDescent="0.25">
      <c r="A633" s="1">
        <v>0</v>
      </c>
      <c r="B633" s="1">
        <v>632</v>
      </c>
      <c r="C633">
        <v>13</v>
      </c>
      <c r="D633">
        <v>44800</v>
      </c>
      <c r="E633" t="s">
        <v>299</v>
      </c>
      <c r="F633" t="s">
        <v>302</v>
      </c>
    </row>
    <row r="634" spans="1:6" x14ac:dyDescent="0.25">
      <c r="A634" s="1">
        <v>0</v>
      </c>
      <c r="B634" s="1">
        <v>633</v>
      </c>
      <c r="C634">
        <v>14</v>
      </c>
      <c r="D634">
        <v>750000</v>
      </c>
      <c r="E634" t="s">
        <v>299</v>
      </c>
      <c r="F634" t="s">
        <v>302</v>
      </c>
    </row>
    <row r="635" spans="1:6" x14ac:dyDescent="0.25">
      <c r="A635" s="1">
        <v>0</v>
      </c>
      <c r="B635" s="1">
        <v>634</v>
      </c>
      <c r="C635">
        <v>15</v>
      </c>
      <c r="D635">
        <v>9000</v>
      </c>
      <c r="E635" t="s">
        <v>299</v>
      </c>
      <c r="F635" t="s">
        <v>302</v>
      </c>
    </row>
    <row r="636" spans="1:6" x14ac:dyDescent="0.25">
      <c r="A636" s="1">
        <v>0</v>
      </c>
      <c r="B636" s="1">
        <v>635</v>
      </c>
      <c r="C636">
        <v>16</v>
      </c>
      <c r="D636">
        <v>138500</v>
      </c>
      <c r="E636" t="s">
        <v>299</v>
      </c>
      <c r="F636" t="s">
        <v>302</v>
      </c>
    </row>
    <row r="637" spans="1:6" x14ac:dyDescent="0.25">
      <c r="A637" s="1">
        <v>0</v>
      </c>
      <c r="B637" s="1">
        <v>636</v>
      </c>
      <c r="C637">
        <v>17</v>
      </c>
      <c r="D637">
        <v>872625</v>
      </c>
      <c r="E637" t="s">
        <v>299</v>
      </c>
      <c r="F637" t="s">
        <v>302</v>
      </c>
    </row>
    <row r="638" spans="1:6" x14ac:dyDescent="0.25">
      <c r="A638" s="1">
        <v>0</v>
      </c>
      <c r="B638" s="1">
        <v>637</v>
      </c>
      <c r="C638">
        <v>18</v>
      </c>
      <c r="D638">
        <v>4300</v>
      </c>
      <c r="E638" t="s">
        <v>299</v>
      </c>
      <c r="F638" t="s">
        <v>302</v>
      </c>
    </row>
    <row r="639" spans="1:6" x14ac:dyDescent="0.25">
      <c r="A639" s="1">
        <v>0</v>
      </c>
      <c r="B639" s="1">
        <v>638</v>
      </c>
      <c r="C639">
        <v>19</v>
      </c>
      <c r="D639">
        <v>289900</v>
      </c>
      <c r="E639" t="s">
        <v>299</v>
      </c>
      <c r="F639" t="s">
        <v>302</v>
      </c>
    </row>
    <row r="640" spans="1:6" x14ac:dyDescent="0.25">
      <c r="A640" s="1">
        <v>0</v>
      </c>
      <c r="B640" s="1">
        <v>639</v>
      </c>
      <c r="C640">
        <v>20</v>
      </c>
      <c r="D640">
        <v>750000</v>
      </c>
      <c r="E640" t="s">
        <v>299</v>
      </c>
      <c r="F640" t="s">
        <v>302</v>
      </c>
    </row>
    <row r="641" spans="1:6" x14ac:dyDescent="0.25">
      <c r="A641" s="1">
        <v>0</v>
      </c>
      <c r="B641" s="1">
        <v>640</v>
      </c>
      <c r="C641">
        <v>21</v>
      </c>
      <c r="D641">
        <v>7400</v>
      </c>
      <c r="E641" t="s">
        <v>299</v>
      </c>
      <c r="F641" t="s">
        <v>302</v>
      </c>
    </row>
    <row r="642" spans="1:6" x14ac:dyDescent="0.25">
      <c r="A642" s="1">
        <v>0</v>
      </c>
      <c r="B642" s="1">
        <v>641</v>
      </c>
      <c r="C642">
        <v>22</v>
      </c>
      <c r="D642">
        <v>103333</v>
      </c>
      <c r="E642" t="s">
        <v>299</v>
      </c>
      <c r="F642" t="s">
        <v>302</v>
      </c>
    </row>
    <row r="643" spans="1:6" x14ac:dyDescent="0.25">
      <c r="A643" s="1">
        <v>0</v>
      </c>
      <c r="B643" s="1">
        <v>642</v>
      </c>
      <c r="C643">
        <v>23</v>
      </c>
      <c r="D643">
        <v>828000</v>
      </c>
      <c r="E643" t="s">
        <v>299</v>
      </c>
      <c r="F643" t="s">
        <v>302</v>
      </c>
    </row>
    <row r="644" spans="1:6" x14ac:dyDescent="0.25">
      <c r="A644" s="1">
        <v>0</v>
      </c>
      <c r="B644" s="1">
        <v>643</v>
      </c>
      <c r="C644">
        <v>24</v>
      </c>
      <c r="D644">
        <v>16800</v>
      </c>
      <c r="E644" t="s">
        <v>299</v>
      </c>
      <c r="F644" t="s">
        <v>302</v>
      </c>
    </row>
    <row r="645" spans="1:6" x14ac:dyDescent="0.25">
      <c r="A645" s="1">
        <v>0</v>
      </c>
      <c r="B645" s="1">
        <v>644</v>
      </c>
      <c r="C645">
        <v>25</v>
      </c>
      <c r="D645">
        <v>98500</v>
      </c>
      <c r="E645" t="s">
        <v>299</v>
      </c>
      <c r="F645" t="s">
        <v>302</v>
      </c>
    </row>
    <row r="646" spans="1:6" x14ac:dyDescent="0.25">
      <c r="A646" s="1">
        <v>0</v>
      </c>
      <c r="B646" s="1">
        <v>645</v>
      </c>
      <c r="C646">
        <v>26</v>
      </c>
      <c r="D646">
        <v>578999</v>
      </c>
      <c r="E646" t="s">
        <v>299</v>
      </c>
      <c r="F646" t="s">
        <v>302</v>
      </c>
    </row>
    <row r="647" spans="1:6" x14ac:dyDescent="0.25">
      <c r="A647" s="1">
        <v>0</v>
      </c>
      <c r="B647" s="1">
        <v>646</v>
      </c>
      <c r="C647">
        <v>101</v>
      </c>
      <c r="D647">
        <v>13600</v>
      </c>
      <c r="E647" t="s">
        <v>299</v>
      </c>
      <c r="F647" t="s">
        <v>302</v>
      </c>
    </row>
    <row r="648" spans="1:6" x14ac:dyDescent="0.25">
      <c r="A648" s="1">
        <v>0</v>
      </c>
      <c r="B648" s="1">
        <v>647</v>
      </c>
      <c r="C648">
        <v>102</v>
      </c>
      <c r="D648">
        <v>19000</v>
      </c>
      <c r="E648" t="s">
        <v>299</v>
      </c>
      <c r="F648" t="s">
        <v>302</v>
      </c>
    </row>
    <row r="649" spans="1:6" x14ac:dyDescent="0.25">
      <c r="A649" s="1">
        <v>0</v>
      </c>
      <c r="B649" s="1">
        <v>648</v>
      </c>
      <c r="C649">
        <v>103</v>
      </c>
      <c r="D649">
        <v>86030</v>
      </c>
      <c r="E649" t="s">
        <v>299</v>
      </c>
      <c r="F649" t="s">
        <v>302</v>
      </c>
    </row>
    <row r="650" spans="1:6" x14ac:dyDescent="0.25">
      <c r="A650" s="1">
        <v>0</v>
      </c>
      <c r="B650" s="1">
        <v>649</v>
      </c>
      <c r="C650">
        <v>1</v>
      </c>
      <c r="D650">
        <v>20000</v>
      </c>
      <c r="E650" t="s">
        <v>319</v>
      </c>
      <c r="F650" t="s">
        <v>320</v>
      </c>
    </row>
    <row r="651" spans="1:6" x14ac:dyDescent="0.25">
      <c r="A651" s="1">
        <v>0</v>
      </c>
      <c r="B651" s="1">
        <v>650</v>
      </c>
      <c r="C651">
        <v>2</v>
      </c>
      <c r="D651">
        <v>9400</v>
      </c>
      <c r="E651" t="s">
        <v>319</v>
      </c>
      <c r="F651" t="s">
        <v>320</v>
      </c>
    </row>
    <row r="652" spans="1:6" x14ac:dyDescent="0.25">
      <c r="A652" s="1">
        <v>0</v>
      </c>
      <c r="B652" s="1">
        <v>651</v>
      </c>
      <c r="C652">
        <v>3</v>
      </c>
      <c r="D652">
        <v>74500</v>
      </c>
      <c r="E652" t="s">
        <v>319</v>
      </c>
      <c r="F652" t="s">
        <v>320</v>
      </c>
    </row>
    <row r="653" spans="1:6" x14ac:dyDescent="0.25">
      <c r="A653" s="1">
        <v>0</v>
      </c>
      <c r="B653" s="1">
        <v>652</v>
      </c>
      <c r="C653">
        <v>9</v>
      </c>
      <c r="D653">
        <v>9000</v>
      </c>
      <c r="E653" t="s">
        <v>319</v>
      </c>
      <c r="F653" t="s">
        <v>320</v>
      </c>
    </row>
    <row r="654" spans="1:6" x14ac:dyDescent="0.25">
      <c r="A654" s="1">
        <v>0</v>
      </c>
      <c r="B654" s="1">
        <v>653</v>
      </c>
      <c r="C654">
        <v>10</v>
      </c>
      <c r="D654">
        <v>480000</v>
      </c>
      <c r="E654" t="s">
        <v>319</v>
      </c>
      <c r="F654" t="s">
        <v>320</v>
      </c>
    </row>
    <row r="655" spans="1:6" x14ac:dyDescent="0.25">
      <c r="A655" s="1">
        <v>0</v>
      </c>
      <c r="B655" s="1">
        <v>654</v>
      </c>
      <c r="C655">
        <v>11</v>
      </c>
      <c r="D655">
        <v>807692</v>
      </c>
      <c r="E655" t="s">
        <v>319</v>
      </c>
      <c r="F655" t="s">
        <v>320</v>
      </c>
    </row>
    <row r="656" spans="1:6" x14ac:dyDescent="0.25">
      <c r="A656" s="1">
        <v>0</v>
      </c>
      <c r="B656" s="1">
        <v>655</v>
      </c>
      <c r="C656">
        <v>12</v>
      </c>
      <c r="D656">
        <v>10800</v>
      </c>
      <c r="E656" t="s">
        <v>319</v>
      </c>
      <c r="F656" t="s">
        <v>320</v>
      </c>
    </row>
    <row r="657" spans="1:6" x14ac:dyDescent="0.25">
      <c r="A657" s="1">
        <v>0</v>
      </c>
      <c r="B657" s="1">
        <v>656</v>
      </c>
      <c r="C657">
        <v>13</v>
      </c>
      <c r="D657">
        <v>79000</v>
      </c>
      <c r="E657" t="s">
        <v>319</v>
      </c>
      <c r="F657" t="s">
        <v>320</v>
      </c>
    </row>
    <row r="658" spans="1:6" x14ac:dyDescent="0.25">
      <c r="A658" s="1">
        <v>0</v>
      </c>
      <c r="B658" s="1">
        <v>657</v>
      </c>
      <c r="C658">
        <v>14</v>
      </c>
      <c r="D658">
        <v>750000</v>
      </c>
      <c r="E658" t="s">
        <v>319</v>
      </c>
      <c r="F658" t="s">
        <v>320</v>
      </c>
    </row>
    <row r="659" spans="1:6" x14ac:dyDescent="0.25">
      <c r="A659" s="1">
        <v>0</v>
      </c>
      <c r="B659" s="1">
        <v>658</v>
      </c>
      <c r="C659">
        <v>15</v>
      </c>
      <c r="D659">
        <v>7755</v>
      </c>
      <c r="E659" t="s">
        <v>319</v>
      </c>
      <c r="F659" t="s">
        <v>320</v>
      </c>
    </row>
    <row r="660" spans="1:6" x14ac:dyDescent="0.25">
      <c r="A660" s="1">
        <v>0</v>
      </c>
      <c r="B660" s="1">
        <v>659</v>
      </c>
      <c r="C660">
        <v>16</v>
      </c>
      <c r="D660">
        <v>299000</v>
      </c>
      <c r="E660" t="s">
        <v>319</v>
      </c>
      <c r="F660" t="s">
        <v>320</v>
      </c>
    </row>
    <row r="661" spans="1:6" x14ac:dyDescent="0.25">
      <c r="A661" s="1">
        <v>0</v>
      </c>
      <c r="B661" s="1">
        <v>660</v>
      </c>
      <c r="C661">
        <v>17</v>
      </c>
      <c r="D661">
        <v>872625</v>
      </c>
      <c r="E661" t="s">
        <v>319</v>
      </c>
      <c r="F661" t="s">
        <v>320</v>
      </c>
    </row>
    <row r="662" spans="1:6" x14ac:dyDescent="0.25">
      <c r="A662" s="1">
        <v>0</v>
      </c>
      <c r="B662" s="1">
        <v>661</v>
      </c>
      <c r="C662">
        <v>18</v>
      </c>
      <c r="D662">
        <v>4100</v>
      </c>
      <c r="E662" t="s">
        <v>319</v>
      </c>
      <c r="F662" t="s">
        <v>320</v>
      </c>
    </row>
    <row r="663" spans="1:6" x14ac:dyDescent="0.25">
      <c r="A663" s="1">
        <v>0</v>
      </c>
      <c r="B663" s="1">
        <v>662</v>
      </c>
      <c r="C663">
        <v>19</v>
      </c>
      <c r="D663">
        <v>295000</v>
      </c>
      <c r="E663" t="s">
        <v>319</v>
      </c>
      <c r="F663" t="s">
        <v>320</v>
      </c>
    </row>
    <row r="664" spans="1:6" x14ac:dyDescent="0.25">
      <c r="A664" s="1">
        <v>0</v>
      </c>
      <c r="B664" s="1">
        <v>663</v>
      </c>
      <c r="C664">
        <v>20</v>
      </c>
      <c r="D664">
        <v>750000</v>
      </c>
      <c r="E664" t="s">
        <v>319</v>
      </c>
      <c r="F664" t="s">
        <v>320</v>
      </c>
    </row>
    <row r="665" spans="1:6" x14ac:dyDescent="0.25">
      <c r="A665" s="1">
        <v>0</v>
      </c>
      <c r="B665" s="1">
        <v>664</v>
      </c>
      <c r="C665">
        <v>21</v>
      </c>
      <c r="D665">
        <v>7000</v>
      </c>
      <c r="E665" t="s">
        <v>319</v>
      </c>
      <c r="F665" t="s">
        <v>320</v>
      </c>
    </row>
    <row r="666" spans="1:6" x14ac:dyDescent="0.25">
      <c r="A666" s="1">
        <v>0</v>
      </c>
      <c r="B666" s="1">
        <v>665</v>
      </c>
      <c r="C666">
        <v>22</v>
      </c>
      <c r="D666">
        <v>252000</v>
      </c>
      <c r="E666" t="s">
        <v>319</v>
      </c>
      <c r="F666" t="s">
        <v>320</v>
      </c>
    </row>
    <row r="667" spans="1:6" x14ac:dyDescent="0.25">
      <c r="A667" s="1">
        <v>0</v>
      </c>
      <c r="B667" s="1">
        <v>666</v>
      </c>
      <c r="C667">
        <v>23</v>
      </c>
      <c r="D667">
        <v>828000</v>
      </c>
      <c r="E667" t="s">
        <v>319</v>
      </c>
      <c r="F667" t="s">
        <v>320</v>
      </c>
    </row>
    <row r="668" spans="1:6" x14ac:dyDescent="0.25">
      <c r="A668" s="1">
        <v>0</v>
      </c>
      <c r="B668" s="1">
        <v>667</v>
      </c>
      <c r="C668">
        <v>24</v>
      </c>
      <c r="D668">
        <v>11000</v>
      </c>
      <c r="E668" t="s">
        <v>319</v>
      </c>
      <c r="F668" t="s">
        <v>320</v>
      </c>
    </row>
    <row r="669" spans="1:6" x14ac:dyDescent="0.25">
      <c r="A669" s="1">
        <v>0</v>
      </c>
      <c r="B669" s="1">
        <v>668</v>
      </c>
      <c r="C669">
        <v>25</v>
      </c>
      <c r="D669">
        <v>99250</v>
      </c>
      <c r="E669" t="s">
        <v>319</v>
      </c>
      <c r="F669" t="s">
        <v>320</v>
      </c>
    </row>
    <row r="670" spans="1:6" x14ac:dyDescent="0.25">
      <c r="A670" s="1">
        <v>0</v>
      </c>
      <c r="B670" s="1">
        <v>669</v>
      </c>
      <c r="C670">
        <v>26</v>
      </c>
      <c r="D670">
        <v>578999</v>
      </c>
      <c r="E670" t="s">
        <v>319</v>
      </c>
      <c r="F670" t="s">
        <v>320</v>
      </c>
    </row>
    <row r="671" spans="1:6" x14ac:dyDescent="0.25">
      <c r="A671" s="1">
        <v>0</v>
      </c>
      <c r="B671" s="1">
        <v>670</v>
      </c>
      <c r="C671">
        <v>101</v>
      </c>
      <c r="D671">
        <v>54699</v>
      </c>
      <c r="E671" t="s">
        <v>319</v>
      </c>
      <c r="F671" t="s">
        <v>320</v>
      </c>
    </row>
    <row r="672" spans="1:6" x14ac:dyDescent="0.25">
      <c r="A672" s="1">
        <v>0</v>
      </c>
      <c r="B672" s="1">
        <v>671</v>
      </c>
      <c r="C672">
        <v>102</v>
      </c>
      <c r="D672">
        <v>18799</v>
      </c>
      <c r="E672" t="s">
        <v>319</v>
      </c>
      <c r="F672" t="s">
        <v>320</v>
      </c>
    </row>
    <row r="673" spans="1:6" x14ac:dyDescent="0.25">
      <c r="A673" s="1">
        <v>0</v>
      </c>
      <c r="B673" s="1">
        <v>672</v>
      </c>
      <c r="C673">
        <v>103</v>
      </c>
      <c r="D673">
        <v>100000</v>
      </c>
      <c r="E673" t="s">
        <v>319</v>
      </c>
      <c r="F673" t="s">
        <v>320</v>
      </c>
    </row>
    <row r="674" spans="1:6" x14ac:dyDescent="0.25">
      <c r="A674" s="1">
        <v>0</v>
      </c>
      <c r="B674" s="1">
        <v>673</v>
      </c>
      <c r="C674">
        <v>200</v>
      </c>
      <c r="D674">
        <v>15400</v>
      </c>
      <c r="E674" t="s">
        <v>319</v>
      </c>
      <c r="F674" t="s">
        <v>320</v>
      </c>
    </row>
    <row r="675" spans="1:6" x14ac:dyDescent="0.25">
      <c r="A675" s="1">
        <v>0</v>
      </c>
      <c r="B675" s="1">
        <v>674</v>
      </c>
      <c r="C675">
        <v>201</v>
      </c>
      <c r="D675">
        <v>9800</v>
      </c>
      <c r="E675" t="s">
        <v>319</v>
      </c>
      <c r="F675" t="s">
        <v>320</v>
      </c>
    </row>
    <row r="676" spans="1:6" x14ac:dyDescent="0.25">
      <c r="A676" s="1">
        <v>0</v>
      </c>
      <c r="B676" s="1">
        <v>675</v>
      </c>
      <c r="C676">
        <v>202</v>
      </c>
      <c r="D676">
        <v>18600</v>
      </c>
      <c r="E676" t="s">
        <v>319</v>
      </c>
      <c r="F676" t="s">
        <v>320</v>
      </c>
    </row>
    <row r="677" spans="1:6" x14ac:dyDescent="0.25">
      <c r="A677" s="1">
        <v>0</v>
      </c>
      <c r="B677" s="1">
        <v>676</v>
      </c>
      <c r="C677">
        <v>203</v>
      </c>
      <c r="D677">
        <v>11800</v>
      </c>
      <c r="E677" t="s">
        <v>319</v>
      </c>
      <c r="F677" t="s">
        <v>320</v>
      </c>
    </row>
    <row r="678" spans="1:6" x14ac:dyDescent="0.25">
      <c r="A678" s="1">
        <v>0</v>
      </c>
      <c r="B678" s="1">
        <v>677</v>
      </c>
      <c r="C678">
        <v>204</v>
      </c>
      <c r="D678">
        <v>25000</v>
      </c>
      <c r="E678" t="s">
        <v>319</v>
      </c>
      <c r="F678" t="s">
        <v>320</v>
      </c>
    </row>
    <row r="679" spans="1:6" x14ac:dyDescent="0.25">
      <c r="A679" s="1">
        <v>0</v>
      </c>
      <c r="B679" s="1">
        <v>678</v>
      </c>
      <c r="C679">
        <v>205</v>
      </c>
      <c r="D679">
        <v>26600</v>
      </c>
      <c r="E679" t="s">
        <v>319</v>
      </c>
      <c r="F679" t="s">
        <v>320</v>
      </c>
    </row>
    <row r="680" spans="1:6" x14ac:dyDescent="0.25">
      <c r="A680" s="1">
        <v>0</v>
      </c>
      <c r="B680" s="1">
        <v>679</v>
      </c>
      <c r="C680">
        <v>206</v>
      </c>
      <c r="D680">
        <v>79200</v>
      </c>
      <c r="E680" t="s">
        <v>319</v>
      </c>
      <c r="F680" t="s">
        <v>320</v>
      </c>
    </row>
    <row r="681" spans="1:6" x14ac:dyDescent="0.25">
      <c r="A681" s="1">
        <v>0</v>
      </c>
      <c r="B681" s="1">
        <v>680</v>
      </c>
      <c r="C681">
        <v>207</v>
      </c>
      <c r="D681">
        <v>38000</v>
      </c>
      <c r="E681" t="s">
        <v>319</v>
      </c>
      <c r="F681" t="s">
        <v>320</v>
      </c>
    </row>
    <row r="682" spans="1:6" x14ac:dyDescent="0.25">
      <c r="A682" s="1">
        <v>0</v>
      </c>
      <c r="B682" s="1">
        <v>681</v>
      </c>
      <c r="C682">
        <v>1</v>
      </c>
      <c r="D682">
        <v>19400</v>
      </c>
      <c r="E682" t="s">
        <v>319</v>
      </c>
      <c r="F682" t="s">
        <v>321</v>
      </c>
    </row>
    <row r="683" spans="1:6" x14ac:dyDescent="0.25">
      <c r="A683" s="1">
        <v>0</v>
      </c>
      <c r="B683" s="1">
        <v>682</v>
      </c>
      <c r="C683">
        <v>2</v>
      </c>
      <c r="D683">
        <v>7700</v>
      </c>
      <c r="E683" t="s">
        <v>319</v>
      </c>
      <c r="F683" t="s">
        <v>321</v>
      </c>
    </row>
    <row r="684" spans="1:6" x14ac:dyDescent="0.25">
      <c r="A684" s="1">
        <v>0</v>
      </c>
      <c r="B684" s="1">
        <v>683</v>
      </c>
      <c r="C684">
        <v>3</v>
      </c>
      <c r="D684">
        <v>56500</v>
      </c>
      <c r="E684" t="s">
        <v>319</v>
      </c>
      <c r="F684" t="s">
        <v>321</v>
      </c>
    </row>
    <row r="685" spans="1:6" x14ac:dyDescent="0.25">
      <c r="A685" s="1">
        <v>0</v>
      </c>
      <c r="B685" s="1">
        <v>684</v>
      </c>
      <c r="C685">
        <v>9</v>
      </c>
      <c r="D685">
        <v>10400</v>
      </c>
      <c r="E685" t="s">
        <v>319</v>
      </c>
      <c r="F685" t="s">
        <v>321</v>
      </c>
    </row>
    <row r="686" spans="1:6" x14ac:dyDescent="0.25">
      <c r="A686" s="1">
        <v>0</v>
      </c>
      <c r="B686" s="1">
        <v>685</v>
      </c>
      <c r="C686">
        <v>10</v>
      </c>
      <c r="D686">
        <v>969000</v>
      </c>
      <c r="E686" t="s">
        <v>319</v>
      </c>
      <c r="F686" t="s">
        <v>321</v>
      </c>
    </row>
    <row r="687" spans="1:6" x14ac:dyDescent="0.25">
      <c r="A687" s="1">
        <v>0</v>
      </c>
      <c r="B687" s="1">
        <v>686</v>
      </c>
      <c r="C687">
        <v>11</v>
      </c>
      <c r="D687">
        <v>807692</v>
      </c>
      <c r="E687" t="s">
        <v>319</v>
      </c>
      <c r="F687" t="s">
        <v>321</v>
      </c>
    </row>
    <row r="688" spans="1:6" x14ac:dyDescent="0.25">
      <c r="A688" s="1">
        <v>0</v>
      </c>
      <c r="B688" s="1">
        <v>687</v>
      </c>
      <c r="C688">
        <v>12</v>
      </c>
      <c r="D688">
        <v>16800</v>
      </c>
      <c r="E688" t="s">
        <v>319</v>
      </c>
      <c r="F688" t="s">
        <v>321</v>
      </c>
    </row>
    <row r="689" spans="1:6" x14ac:dyDescent="0.25">
      <c r="A689" s="1">
        <v>0</v>
      </c>
      <c r="B689" s="1">
        <v>688</v>
      </c>
      <c r="C689">
        <v>13</v>
      </c>
      <c r="D689">
        <v>90000</v>
      </c>
      <c r="E689" t="s">
        <v>319</v>
      </c>
      <c r="F689" t="s">
        <v>321</v>
      </c>
    </row>
    <row r="690" spans="1:6" x14ac:dyDescent="0.25">
      <c r="A690" s="1">
        <v>0</v>
      </c>
      <c r="B690" s="1">
        <v>689</v>
      </c>
      <c r="C690">
        <v>14</v>
      </c>
      <c r="D690">
        <v>750000</v>
      </c>
      <c r="E690" t="s">
        <v>319</v>
      </c>
      <c r="F690" t="s">
        <v>321</v>
      </c>
    </row>
    <row r="691" spans="1:6" x14ac:dyDescent="0.25">
      <c r="A691" s="1">
        <v>0</v>
      </c>
      <c r="B691" s="1">
        <v>690</v>
      </c>
      <c r="C691">
        <v>15</v>
      </c>
      <c r="D691">
        <v>7499</v>
      </c>
      <c r="E691" t="s">
        <v>319</v>
      </c>
      <c r="F691" t="s">
        <v>321</v>
      </c>
    </row>
    <row r="692" spans="1:6" x14ac:dyDescent="0.25">
      <c r="A692" s="1">
        <v>0</v>
      </c>
      <c r="B692" s="1">
        <v>691</v>
      </c>
      <c r="C692">
        <v>16</v>
      </c>
      <c r="D692">
        <v>389000</v>
      </c>
      <c r="E692" t="s">
        <v>319</v>
      </c>
      <c r="F692" t="s">
        <v>321</v>
      </c>
    </row>
    <row r="693" spans="1:6" x14ac:dyDescent="0.25">
      <c r="A693" s="1">
        <v>0</v>
      </c>
      <c r="B693" s="1">
        <v>692</v>
      </c>
      <c r="C693">
        <v>17</v>
      </c>
      <c r="D693">
        <v>872625</v>
      </c>
      <c r="E693" t="s">
        <v>319</v>
      </c>
      <c r="F693" t="s">
        <v>321</v>
      </c>
    </row>
    <row r="694" spans="1:6" x14ac:dyDescent="0.25">
      <c r="A694" s="1">
        <v>0</v>
      </c>
      <c r="B694" s="1">
        <v>693</v>
      </c>
      <c r="C694">
        <v>18</v>
      </c>
      <c r="D694">
        <v>7300</v>
      </c>
      <c r="E694" t="s">
        <v>319</v>
      </c>
      <c r="F694" t="s">
        <v>321</v>
      </c>
    </row>
    <row r="695" spans="1:6" x14ac:dyDescent="0.25">
      <c r="A695" s="1">
        <v>0</v>
      </c>
      <c r="B695" s="1">
        <v>694</v>
      </c>
      <c r="C695">
        <v>19</v>
      </c>
      <c r="D695">
        <v>290000</v>
      </c>
      <c r="E695" t="s">
        <v>319</v>
      </c>
      <c r="F695" t="s">
        <v>321</v>
      </c>
    </row>
    <row r="696" spans="1:6" x14ac:dyDescent="0.25">
      <c r="A696" s="1">
        <v>0</v>
      </c>
      <c r="B696" s="1">
        <v>695</v>
      </c>
      <c r="C696">
        <v>20</v>
      </c>
      <c r="D696">
        <v>750000</v>
      </c>
      <c r="E696" t="s">
        <v>319</v>
      </c>
      <c r="F696" t="s">
        <v>321</v>
      </c>
    </row>
    <row r="697" spans="1:6" x14ac:dyDescent="0.25">
      <c r="A697" s="1">
        <v>0</v>
      </c>
      <c r="B697" s="1">
        <v>696</v>
      </c>
      <c r="C697">
        <v>21</v>
      </c>
      <c r="D697">
        <v>6250</v>
      </c>
      <c r="E697" t="s">
        <v>319</v>
      </c>
      <c r="F697" t="s">
        <v>321</v>
      </c>
    </row>
    <row r="698" spans="1:6" x14ac:dyDescent="0.25">
      <c r="A698" s="1">
        <v>0</v>
      </c>
      <c r="B698" s="1">
        <v>697</v>
      </c>
      <c r="C698">
        <v>22</v>
      </c>
      <c r="D698">
        <v>498000</v>
      </c>
      <c r="E698" t="s">
        <v>319</v>
      </c>
      <c r="F698" t="s">
        <v>321</v>
      </c>
    </row>
    <row r="699" spans="1:6" x14ac:dyDescent="0.25">
      <c r="A699" s="1">
        <v>0</v>
      </c>
      <c r="B699" s="1">
        <v>698</v>
      </c>
      <c r="C699">
        <v>23</v>
      </c>
      <c r="D699">
        <v>828000</v>
      </c>
      <c r="E699" t="s">
        <v>319</v>
      </c>
      <c r="F699" t="s">
        <v>321</v>
      </c>
    </row>
    <row r="700" spans="1:6" x14ac:dyDescent="0.25">
      <c r="A700" s="1">
        <v>0</v>
      </c>
      <c r="B700" s="1">
        <v>699</v>
      </c>
      <c r="C700">
        <v>24</v>
      </c>
      <c r="D700">
        <v>10599</v>
      </c>
      <c r="E700" t="s">
        <v>319</v>
      </c>
      <c r="F700" t="s">
        <v>321</v>
      </c>
    </row>
    <row r="701" spans="1:6" x14ac:dyDescent="0.25">
      <c r="A701" s="1">
        <v>0</v>
      </c>
      <c r="B701" s="1">
        <v>700</v>
      </c>
      <c r="C701">
        <v>25</v>
      </c>
      <c r="D701">
        <v>98500</v>
      </c>
      <c r="E701" t="s">
        <v>319</v>
      </c>
      <c r="F701" t="s">
        <v>321</v>
      </c>
    </row>
    <row r="702" spans="1:6" x14ac:dyDescent="0.25">
      <c r="A702" s="1">
        <v>0</v>
      </c>
      <c r="B702" s="1">
        <v>701</v>
      </c>
      <c r="C702">
        <v>26</v>
      </c>
      <c r="D702">
        <v>578999</v>
      </c>
      <c r="E702" t="s">
        <v>319</v>
      </c>
      <c r="F702" t="s">
        <v>321</v>
      </c>
    </row>
    <row r="703" spans="1:6" x14ac:dyDescent="0.25">
      <c r="A703" s="1">
        <v>0</v>
      </c>
      <c r="B703" s="1">
        <v>702</v>
      </c>
      <c r="C703">
        <v>101</v>
      </c>
      <c r="D703">
        <v>23400</v>
      </c>
      <c r="E703" t="s">
        <v>319</v>
      </c>
      <c r="F703" t="s">
        <v>321</v>
      </c>
    </row>
    <row r="704" spans="1:6" x14ac:dyDescent="0.25">
      <c r="A704" s="1">
        <v>0</v>
      </c>
      <c r="B704" s="1">
        <v>703</v>
      </c>
      <c r="C704">
        <v>102</v>
      </c>
      <c r="D704">
        <v>14000</v>
      </c>
      <c r="E704" t="s">
        <v>319</v>
      </c>
      <c r="F704" t="s">
        <v>321</v>
      </c>
    </row>
    <row r="705" spans="1:6" x14ac:dyDescent="0.25">
      <c r="A705" s="1">
        <v>0</v>
      </c>
      <c r="B705" s="1">
        <v>704</v>
      </c>
      <c r="C705">
        <v>103</v>
      </c>
      <c r="D705">
        <v>98000</v>
      </c>
      <c r="E705" t="s">
        <v>319</v>
      </c>
      <c r="F705" t="s">
        <v>321</v>
      </c>
    </row>
    <row r="706" spans="1:6" x14ac:dyDescent="0.25">
      <c r="A706" s="1">
        <v>0</v>
      </c>
      <c r="B706" s="1">
        <v>705</v>
      </c>
      <c r="C706">
        <v>200</v>
      </c>
      <c r="D706">
        <v>15000</v>
      </c>
      <c r="E706" t="s">
        <v>319</v>
      </c>
      <c r="F706" t="s">
        <v>321</v>
      </c>
    </row>
    <row r="707" spans="1:6" x14ac:dyDescent="0.25">
      <c r="A707" s="1">
        <v>0</v>
      </c>
      <c r="B707" s="1">
        <v>706</v>
      </c>
      <c r="C707">
        <v>201</v>
      </c>
      <c r="D707">
        <v>10200</v>
      </c>
      <c r="E707" t="s">
        <v>319</v>
      </c>
      <c r="F707" t="s">
        <v>321</v>
      </c>
    </row>
    <row r="708" spans="1:6" x14ac:dyDescent="0.25">
      <c r="A708" s="1">
        <v>0</v>
      </c>
      <c r="B708" s="1">
        <v>707</v>
      </c>
      <c r="C708">
        <v>202</v>
      </c>
      <c r="D708">
        <v>17000</v>
      </c>
      <c r="E708" t="s">
        <v>319</v>
      </c>
      <c r="F708" t="s">
        <v>321</v>
      </c>
    </row>
    <row r="709" spans="1:6" x14ac:dyDescent="0.25">
      <c r="A709" s="1">
        <v>0</v>
      </c>
      <c r="B709" s="1">
        <v>708</v>
      </c>
      <c r="C709">
        <v>203</v>
      </c>
      <c r="D709">
        <v>34600</v>
      </c>
      <c r="E709" t="s">
        <v>319</v>
      </c>
      <c r="F709" t="s">
        <v>321</v>
      </c>
    </row>
    <row r="710" spans="1:6" x14ac:dyDescent="0.25">
      <c r="A710" s="1">
        <v>0</v>
      </c>
      <c r="B710" s="1">
        <v>709</v>
      </c>
      <c r="C710">
        <v>204</v>
      </c>
      <c r="D710">
        <v>24800</v>
      </c>
      <c r="E710" t="s">
        <v>319</v>
      </c>
      <c r="F710" t="s">
        <v>321</v>
      </c>
    </row>
    <row r="711" spans="1:6" x14ac:dyDescent="0.25">
      <c r="A711" s="1">
        <v>0</v>
      </c>
      <c r="B711" s="1">
        <v>710</v>
      </c>
      <c r="C711">
        <v>205</v>
      </c>
      <c r="D711">
        <v>17400</v>
      </c>
      <c r="E711" t="s">
        <v>319</v>
      </c>
      <c r="F711" t="s">
        <v>321</v>
      </c>
    </row>
    <row r="712" spans="1:6" x14ac:dyDescent="0.25">
      <c r="A712" s="1">
        <v>0</v>
      </c>
      <c r="B712" s="1">
        <v>711</v>
      </c>
      <c r="C712">
        <v>206</v>
      </c>
      <c r="D712">
        <v>37400</v>
      </c>
      <c r="E712" t="s">
        <v>319</v>
      </c>
      <c r="F712" t="s">
        <v>321</v>
      </c>
    </row>
    <row r="713" spans="1:6" x14ac:dyDescent="0.25">
      <c r="A713" s="1">
        <v>0</v>
      </c>
      <c r="B713" s="1">
        <v>712</v>
      </c>
      <c r="C713">
        <v>207</v>
      </c>
      <c r="D713">
        <v>36999</v>
      </c>
      <c r="E713" t="s">
        <v>319</v>
      </c>
      <c r="F713" t="s">
        <v>321</v>
      </c>
    </row>
    <row r="714" spans="1:6" x14ac:dyDescent="0.25">
      <c r="A714" s="1">
        <v>0</v>
      </c>
      <c r="B714" s="1">
        <v>713</v>
      </c>
      <c r="C714">
        <v>1</v>
      </c>
      <c r="D714">
        <v>18200</v>
      </c>
      <c r="E714" t="s">
        <v>322</v>
      </c>
      <c r="F714" t="s">
        <v>323</v>
      </c>
    </row>
    <row r="715" spans="1:6" x14ac:dyDescent="0.25">
      <c r="A715" s="1">
        <v>0</v>
      </c>
      <c r="B715" s="1">
        <v>714</v>
      </c>
      <c r="C715">
        <v>2</v>
      </c>
      <c r="D715">
        <v>7900</v>
      </c>
      <c r="E715" t="s">
        <v>322</v>
      </c>
      <c r="F715" t="s">
        <v>323</v>
      </c>
    </row>
    <row r="716" spans="1:6" x14ac:dyDescent="0.25">
      <c r="A716" s="1">
        <v>0</v>
      </c>
      <c r="B716" s="1">
        <v>715</v>
      </c>
      <c r="C716">
        <v>3</v>
      </c>
      <c r="D716">
        <v>50000</v>
      </c>
      <c r="E716" t="s">
        <v>322</v>
      </c>
      <c r="F716" t="s">
        <v>323</v>
      </c>
    </row>
    <row r="717" spans="1:6" x14ac:dyDescent="0.25">
      <c r="A717" s="1">
        <v>0</v>
      </c>
      <c r="B717" s="1">
        <v>716</v>
      </c>
      <c r="C717">
        <v>9</v>
      </c>
      <c r="D717">
        <v>9700</v>
      </c>
      <c r="E717" t="s">
        <v>322</v>
      </c>
      <c r="F717" t="s">
        <v>323</v>
      </c>
    </row>
    <row r="718" spans="1:6" x14ac:dyDescent="0.25">
      <c r="A718" s="1">
        <v>0</v>
      </c>
      <c r="B718" s="1">
        <v>717</v>
      </c>
      <c r="C718">
        <v>10</v>
      </c>
      <c r="D718">
        <v>399000</v>
      </c>
      <c r="E718" t="s">
        <v>322</v>
      </c>
      <c r="F718" t="s">
        <v>323</v>
      </c>
    </row>
    <row r="719" spans="1:6" x14ac:dyDescent="0.25">
      <c r="A719" s="1">
        <v>0</v>
      </c>
      <c r="B719" s="1">
        <v>718</v>
      </c>
      <c r="C719">
        <v>11</v>
      </c>
      <c r="D719">
        <v>807692</v>
      </c>
      <c r="E719" t="s">
        <v>322</v>
      </c>
      <c r="F719" t="s">
        <v>323</v>
      </c>
    </row>
    <row r="720" spans="1:6" x14ac:dyDescent="0.25">
      <c r="A720" s="1">
        <v>0</v>
      </c>
      <c r="B720" s="1">
        <v>719</v>
      </c>
      <c r="C720">
        <v>12</v>
      </c>
      <c r="D720">
        <v>16200</v>
      </c>
      <c r="E720" t="s">
        <v>322</v>
      </c>
      <c r="F720" t="s">
        <v>323</v>
      </c>
    </row>
    <row r="721" spans="1:6" x14ac:dyDescent="0.25">
      <c r="A721" s="1">
        <v>0</v>
      </c>
      <c r="B721" s="1">
        <v>720</v>
      </c>
      <c r="C721">
        <v>13</v>
      </c>
      <c r="D721">
        <v>300000</v>
      </c>
      <c r="E721" t="s">
        <v>322</v>
      </c>
      <c r="F721" t="s">
        <v>323</v>
      </c>
    </row>
    <row r="722" spans="1:6" x14ac:dyDescent="0.25">
      <c r="A722" s="1">
        <v>0</v>
      </c>
      <c r="B722" s="1">
        <v>721</v>
      </c>
      <c r="C722">
        <v>14</v>
      </c>
      <c r="D722">
        <v>750000</v>
      </c>
      <c r="E722" t="s">
        <v>322</v>
      </c>
      <c r="F722" t="s">
        <v>323</v>
      </c>
    </row>
    <row r="723" spans="1:6" x14ac:dyDescent="0.25">
      <c r="A723" s="1">
        <v>0</v>
      </c>
      <c r="B723" s="1">
        <v>722</v>
      </c>
      <c r="C723">
        <v>15</v>
      </c>
      <c r="D723">
        <v>7100</v>
      </c>
      <c r="E723" t="s">
        <v>322</v>
      </c>
      <c r="F723" t="s">
        <v>323</v>
      </c>
    </row>
    <row r="724" spans="1:6" x14ac:dyDescent="0.25">
      <c r="A724" s="1">
        <v>0</v>
      </c>
      <c r="B724" s="1">
        <v>723</v>
      </c>
      <c r="C724">
        <v>16</v>
      </c>
      <c r="D724">
        <v>330000</v>
      </c>
      <c r="E724" t="s">
        <v>322</v>
      </c>
      <c r="F724" t="s">
        <v>323</v>
      </c>
    </row>
    <row r="725" spans="1:6" x14ac:dyDescent="0.25">
      <c r="A725" s="1">
        <v>0</v>
      </c>
      <c r="B725" s="1">
        <v>724</v>
      </c>
      <c r="C725">
        <v>17</v>
      </c>
      <c r="D725">
        <v>872625</v>
      </c>
      <c r="E725" t="s">
        <v>322</v>
      </c>
      <c r="F725" t="s">
        <v>323</v>
      </c>
    </row>
    <row r="726" spans="1:6" x14ac:dyDescent="0.25">
      <c r="A726" s="1">
        <v>0</v>
      </c>
      <c r="B726" s="1">
        <v>725</v>
      </c>
      <c r="C726">
        <v>18</v>
      </c>
      <c r="D726">
        <v>6900</v>
      </c>
      <c r="E726" t="s">
        <v>322</v>
      </c>
      <c r="F726" t="s">
        <v>323</v>
      </c>
    </row>
    <row r="727" spans="1:6" x14ac:dyDescent="0.25">
      <c r="A727" s="1">
        <v>0</v>
      </c>
      <c r="B727" s="1">
        <v>726</v>
      </c>
      <c r="C727">
        <v>19</v>
      </c>
      <c r="D727">
        <v>253999</v>
      </c>
      <c r="E727" t="s">
        <v>322</v>
      </c>
      <c r="F727" t="s">
        <v>323</v>
      </c>
    </row>
    <row r="728" spans="1:6" x14ac:dyDescent="0.25">
      <c r="A728" s="1">
        <v>0</v>
      </c>
      <c r="B728" s="1">
        <v>727</v>
      </c>
      <c r="C728">
        <v>20</v>
      </c>
      <c r="D728">
        <v>750000</v>
      </c>
      <c r="E728" t="s">
        <v>322</v>
      </c>
      <c r="F728" t="s">
        <v>323</v>
      </c>
    </row>
    <row r="729" spans="1:6" x14ac:dyDescent="0.25">
      <c r="A729" s="1">
        <v>0</v>
      </c>
      <c r="B729" s="1">
        <v>728</v>
      </c>
      <c r="C729">
        <v>21</v>
      </c>
      <c r="D729">
        <v>10000</v>
      </c>
      <c r="E729" t="s">
        <v>322</v>
      </c>
      <c r="F729" t="s">
        <v>323</v>
      </c>
    </row>
    <row r="730" spans="1:6" x14ac:dyDescent="0.25">
      <c r="A730" s="1">
        <v>0</v>
      </c>
      <c r="B730" s="1">
        <v>729</v>
      </c>
      <c r="C730">
        <v>22</v>
      </c>
      <c r="D730">
        <v>474999</v>
      </c>
      <c r="E730" t="s">
        <v>322</v>
      </c>
      <c r="F730" t="s">
        <v>323</v>
      </c>
    </row>
    <row r="731" spans="1:6" x14ac:dyDescent="0.25">
      <c r="A731" s="1">
        <v>0</v>
      </c>
      <c r="B731" s="1">
        <v>730</v>
      </c>
      <c r="C731">
        <v>23</v>
      </c>
      <c r="D731">
        <v>828000</v>
      </c>
      <c r="E731" t="s">
        <v>322</v>
      </c>
      <c r="F731" t="s">
        <v>323</v>
      </c>
    </row>
    <row r="732" spans="1:6" x14ac:dyDescent="0.25">
      <c r="A732" s="1">
        <v>0</v>
      </c>
      <c r="B732" s="1">
        <v>731</v>
      </c>
      <c r="C732">
        <v>24</v>
      </c>
      <c r="D732">
        <v>29400</v>
      </c>
      <c r="E732" t="s">
        <v>322</v>
      </c>
      <c r="F732" t="s">
        <v>323</v>
      </c>
    </row>
    <row r="733" spans="1:6" x14ac:dyDescent="0.25">
      <c r="A733" s="1">
        <v>0</v>
      </c>
      <c r="B733" s="1">
        <v>732</v>
      </c>
      <c r="C733">
        <v>25</v>
      </c>
      <c r="D733">
        <v>258000</v>
      </c>
      <c r="E733" t="s">
        <v>322</v>
      </c>
      <c r="F733" t="s">
        <v>323</v>
      </c>
    </row>
    <row r="734" spans="1:6" x14ac:dyDescent="0.25">
      <c r="A734" s="1">
        <v>0</v>
      </c>
      <c r="B734" s="1">
        <v>733</v>
      </c>
      <c r="C734">
        <v>26</v>
      </c>
      <c r="D734">
        <v>578999</v>
      </c>
      <c r="E734" t="s">
        <v>322</v>
      </c>
      <c r="F734" t="s">
        <v>323</v>
      </c>
    </row>
    <row r="735" spans="1:6" x14ac:dyDescent="0.25">
      <c r="A735" s="1">
        <v>0</v>
      </c>
      <c r="B735" s="1">
        <v>734</v>
      </c>
      <c r="C735">
        <v>101</v>
      </c>
      <c r="D735">
        <v>19800</v>
      </c>
      <c r="E735" t="s">
        <v>322</v>
      </c>
      <c r="F735" t="s">
        <v>323</v>
      </c>
    </row>
    <row r="736" spans="1:6" x14ac:dyDescent="0.25">
      <c r="A736" s="1">
        <v>0</v>
      </c>
      <c r="B736" s="1">
        <v>735</v>
      </c>
      <c r="C736">
        <v>102</v>
      </c>
      <c r="D736">
        <v>12999</v>
      </c>
      <c r="E736" t="s">
        <v>322</v>
      </c>
      <c r="F736" t="s">
        <v>323</v>
      </c>
    </row>
    <row r="737" spans="1:6" x14ac:dyDescent="0.25">
      <c r="A737" s="1">
        <v>0</v>
      </c>
      <c r="B737" s="1">
        <v>736</v>
      </c>
      <c r="C737">
        <v>103</v>
      </c>
      <c r="D737">
        <v>96999</v>
      </c>
      <c r="E737" t="s">
        <v>322</v>
      </c>
      <c r="F737" t="s">
        <v>323</v>
      </c>
    </row>
    <row r="738" spans="1:6" x14ac:dyDescent="0.25">
      <c r="A738" s="1">
        <v>0</v>
      </c>
      <c r="B738" s="1">
        <v>737</v>
      </c>
      <c r="C738">
        <v>200</v>
      </c>
      <c r="D738">
        <v>15400</v>
      </c>
      <c r="E738" t="s">
        <v>322</v>
      </c>
      <c r="F738" t="s">
        <v>323</v>
      </c>
    </row>
    <row r="739" spans="1:6" x14ac:dyDescent="0.25">
      <c r="A739" s="1">
        <v>0</v>
      </c>
      <c r="B739" s="1">
        <v>738</v>
      </c>
      <c r="C739">
        <v>201</v>
      </c>
      <c r="D739">
        <v>9800</v>
      </c>
      <c r="E739" t="s">
        <v>322</v>
      </c>
      <c r="F739" t="s">
        <v>323</v>
      </c>
    </row>
    <row r="740" spans="1:6" x14ac:dyDescent="0.25">
      <c r="A740" s="1">
        <v>0</v>
      </c>
      <c r="B740" s="1">
        <v>739</v>
      </c>
      <c r="C740">
        <v>202</v>
      </c>
      <c r="D740">
        <v>15999</v>
      </c>
      <c r="E740" t="s">
        <v>322</v>
      </c>
      <c r="F740" t="s">
        <v>323</v>
      </c>
    </row>
    <row r="741" spans="1:6" x14ac:dyDescent="0.25">
      <c r="A741" s="1">
        <v>0</v>
      </c>
      <c r="B741" s="1">
        <v>740</v>
      </c>
      <c r="C741">
        <v>203</v>
      </c>
      <c r="D741">
        <v>25399</v>
      </c>
      <c r="E741" t="s">
        <v>322</v>
      </c>
      <c r="F741" t="s">
        <v>323</v>
      </c>
    </row>
    <row r="742" spans="1:6" x14ac:dyDescent="0.25">
      <c r="A742" s="1">
        <v>0</v>
      </c>
      <c r="B742" s="1">
        <v>741</v>
      </c>
      <c r="C742">
        <v>204</v>
      </c>
      <c r="D742">
        <v>23000</v>
      </c>
      <c r="E742" t="s">
        <v>322</v>
      </c>
      <c r="F742" t="s">
        <v>323</v>
      </c>
    </row>
    <row r="743" spans="1:6" x14ac:dyDescent="0.25">
      <c r="A743" s="1">
        <v>0</v>
      </c>
      <c r="B743" s="1">
        <v>742</v>
      </c>
      <c r="C743">
        <v>205</v>
      </c>
      <c r="D743">
        <v>22000</v>
      </c>
      <c r="E743" t="s">
        <v>322</v>
      </c>
      <c r="F743" t="s">
        <v>323</v>
      </c>
    </row>
    <row r="744" spans="1:6" x14ac:dyDescent="0.25">
      <c r="A744" s="1">
        <v>0</v>
      </c>
      <c r="B744" s="1">
        <v>743</v>
      </c>
      <c r="C744">
        <v>206</v>
      </c>
      <c r="D744">
        <v>49399</v>
      </c>
      <c r="E744" t="s">
        <v>322</v>
      </c>
      <c r="F744" t="s">
        <v>323</v>
      </c>
    </row>
    <row r="745" spans="1:6" x14ac:dyDescent="0.25">
      <c r="A745" s="1">
        <v>0</v>
      </c>
      <c r="B745" s="1">
        <v>744</v>
      </c>
      <c r="C745">
        <v>207</v>
      </c>
      <c r="D745">
        <v>35799</v>
      </c>
      <c r="E745" t="s">
        <v>322</v>
      </c>
      <c r="F745" t="s">
        <v>323</v>
      </c>
    </row>
    <row r="746" spans="1:6" x14ac:dyDescent="0.25">
      <c r="A746" s="1">
        <v>0</v>
      </c>
      <c r="B746" s="1">
        <v>745</v>
      </c>
      <c r="C746">
        <v>1</v>
      </c>
      <c r="D746">
        <v>10000</v>
      </c>
      <c r="E746" s="2">
        <v>46185</v>
      </c>
      <c r="F746" s="4">
        <v>0.70276620370370368</v>
      </c>
    </row>
    <row r="747" spans="1:6" x14ac:dyDescent="0.25">
      <c r="A747" s="1">
        <v>0</v>
      </c>
      <c r="B747" s="1">
        <v>746</v>
      </c>
      <c r="C747">
        <v>2</v>
      </c>
      <c r="D747">
        <v>7200</v>
      </c>
      <c r="E747" s="2">
        <v>46185</v>
      </c>
      <c r="F747" s="4">
        <v>0.70276620370370368</v>
      </c>
    </row>
    <row r="748" spans="1:6" x14ac:dyDescent="0.25">
      <c r="A748" s="1">
        <v>0</v>
      </c>
      <c r="B748" s="1">
        <v>747</v>
      </c>
      <c r="C748">
        <v>3</v>
      </c>
      <c r="D748">
        <v>74500</v>
      </c>
      <c r="E748" s="2">
        <v>46185</v>
      </c>
      <c r="F748" s="4">
        <v>0.70276620370370368</v>
      </c>
    </row>
    <row r="749" spans="1:6" x14ac:dyDescent="0.25">
      <c r="A749" s="1">
        <v>0</v>
      </c>
      <c r="B749" s="1">
        <v>748</v>
      </c>
      <c r="C749">
        <v>9</v>
      </c>
      <c r="D749">
        <v>7600</v>
      </c>
      <c r="E749" s="2">
        <v>46185</v>
      </c>
      <c r="F749" s="4">
        <v>0.70276620370370368</v>
      </c>
    </row>
    <row r="750" spans="1:6" x14ac:dyDescent="0.25">
      <c r="A750" s="1">
        <v>0</v>
      </c>
      <c r="B750" s="1">
        <v>749</v>
      </c>
      <c r="C750">
        <v>10</v>
      </c>
      <c r="D750">
        <v>460000</v>
      </c>
      <c r="E750" s="2">
        <v>46185</v>
      </c>
      <c r="F750" s="4">
        <v>0.70276620370370368</v>
      </c>
    </row>
    <row r="751" spans="1:6" x14ac:dyDescent="0.25">
      <c r="A751" s="1">
        <v>0</v>
      </c>
      <c r="B751" s="1">
        <v>750</v>
      </c>
      <c r="C751">
        <v>11</v>
      </c>
      <c r="D751">
        <v>807692</v>
      </c>
      <c r="E751" s="2">
        <v>46185</v>
      </c>
      <c r="F751" s="4">
        <v>0.70276620370370368</v>
      </c>
    </row>
    <row r="752" spans="1:6" x14ac:dyDescent="0.25">
      <c r="A752" s="1">
        <v>0</v>
      </c>
      <c r="B752" s="1">
        <v>751</v>
      </c>
      <c r="C752">
        <v>12</v>
      </c>
      <c r="D752">
        <v>10400</v>
      </c>
      <c r="E752" s="2">
        <v>46185</v>
      </c>
      <c r="F752" s="4">
        <v>0.70276620370370368</v>
      </c>
    </row>
    <row r="753" spans="1:6" x14ac:dyDescent="0.25">
      <c r="A753" s="1">
        <v>0</v>
      </c>
      <c r="B753" s="1">
        <v>752</v>
      </c>
      <c r="C753">
        <v>13</v>
      </c>
      <c r="D753">
        <v>257000</v>
      </c>
      <c r="E753" s="2">
        <v>46185</v>
      </c>
      <c r="F753" s="4">
        <v>0.70276620370370368</v>
      </c>
    </row>
    <row r="754" spans="1:6" x14ac:dyDescent="0.25">
      <c r="A754" s="1">
        <v>0</v>
      </c>
      <c r="B754" s="1">
        <v>753</v>
      </c>
      <c r="C754">
        <v>14</v>
      </c>
      <c r="D754">
        <v>750000</v>
      </c>
      <c r="E754" s="2">
        <v>46185</v>
      </c>
      <c r="F754" s="4">
        <v>0.70276620370370368</v>
      </c>
    </row>
    <row r="755" spans="1:6" x14ac:dyDescent="0.25">
      <c r="A755" s="1">
        <v>0</v>
      </c>
      <c r="B755" s="1">
        <v>754</v>
      </c>
      <c r="C755">
        <v>15</v>
      </c>
      <c r="D755">
        <v>7100</v>
      </c>
      <c r="E755" s="2">
        <v>46185</v>
      </c>
      <c r="F755" s="4">
        <v>0.70276620370370368</v>
      </c>
    </row>
    <row r="756" spans="1:6" x14ac:dyDescent="0.25">
      <c r="A756" s="1">
        <v>0</v>
      </c>
      <c r="B756" s="1">
        <v>755</v>
      </c>
      <c r="C756">
        <v>16</v>
      </c>
      <c r="D756">
        <v>258000</v>
      </c>
      <c r="E756" s="2">
        <v>46185</v>
      </c>
      <c r="F756" s="4">
        <v>0.70276620370370368</v>
      </c>
    </row>
    <row r="757" spans="1:6" x14ac:dyDescent="0.25">
      <c r="A757" s="1">
        <v>0</v>
      </c>
      <c r="B757" s="1">
        <v>756</v>
      </c>
      <c r="C757">
        <v>17</v>
      </c>
      <c r="D757">
        <v>872625</v>
      </c>
      <c r="E757" s="2">
        <v>46185</v>
      </c>
      <c r="F757" s="4">
        <v>0.70276620370370368</v>
      </c>
    </row>
    <row r="758" spans="1:6" x14ac:dyDescent="0.25">
      <c r="A758" s="1">
        <v>0</v>
      </c>
      <c r="B758" s="1">
        <v>757</v>
      </c>
      <c r="C758">
        <v>18</v>
      </c>
      <c r="D758">
        <v>6500</v>
      </c>
      <c r="E758" s="2">
        <v>46185</v>
      </c>
      <c r="F758" s="4">
        <v>0.70276620370370368</v>
      </c>
    </row>
    <row r="759" spans="1:6" x14ac:dyDescent="0.25">
      <c r="A759" s="1">
        <v>0</v>
      </c>
      <c r="B759" s="1">
        <v>758</v>
      </c>
      <c r="C759">
        <v>19</v>
      </c>
      <c r="D759">
        <v>254000</v>
      </c>
      <c r="E759" s="2">
        <v>46185</v>
      </c>
      <c r="F759" s="4">
        <v>0.70276620370370368</v>
      </c>
    </row>
    <row r="760" spans="1:6" x14ac:dyDescent="0.25">
      <c r="A760" s="1">
        <v>0</v>
      </c>
      <c r="B760" s="1">
        <v>759</v>
      </c>
      <c r="C760">
        <v>20</v>
      </c>
      <c r="D760">
        <v>750000</v>
      </c>
      <c r="E760" s="2">
        <v>46185</v>
      </c>
      <c r="F760" s="4">
        <v>0.70276620370370368</v>
      </c>
    </row>
    <row r="761" spans="1:6" x14ac:dyDescent="0.25">
      <c r="A761" s="1">
        <v>0</v>
      </c>
      <c r="B761" s="1">
        <v>760</v>
      </c>
      <c r="C761">
        <v>21</v>
      </c>
      <c r="D761">
        <v>7900</v>
      </c>
      <c r="E761" s="2">
        <v>46185</v>
      </c>
      <c r="F761" s="4">
        <v>0.70276620370370368</v>
      </c>
    </row>
    <row r="762" spans="1:6" x14ac:dyDescent="0.25">
      <c r="A762" s="1">
        <v>0</v>
      </c>
      <c r="B762" s="1">
        <v>761</v>
      </c>
      <c r="C762">
        <v>22</v>
      </c>
      <c r="D762">
        <v>466000</v>
      </c>
      <c r="E762" s="2">
        <v>46185</v>
      </c>
      <c r="F762" s="4">
        <v>0.70276620370370368</v>
      </c>
    </row>
    <row r="763" spans="1:6" x14ac:dyDescent="0.25">
      <c r="A763" s="1">
        <v>0</v>
      </c>
      <c r="B763" s="1">
        <v>762</v>
      </c>
      <c r="C763">
        <v>23</v>
      </c>
      <c r="D763">
        <v>828000</v>
      </c>
      <c r="E763" s="2">
        <v>46185</v>
      </c>
      <c r="F763" s="4">
        <v>0.70276620370370368</v>
      </c>
    </row>
    <row r="764" spans="1:6" x14ac:dyDescent="0.25">
      <c r="A764" s="1">
        <v>0</v>
      </c>
      <c r="B764" s="1">
        <v>763</v>
      </c>
      <c r="C764">
        <v>24</v>
      </c>
      <c r="D764">
        <v>25000</v>
      </c>
      <c r="E764" s="2">
        <v>46185</v>
      </c>
      <c r="F764" s="4">
        <v>0.70276620370370368</v>
      </c>
    </row>
    <row r="765" spans="1:6" x14ac:dyDescent="0.25">
      <c r="A765" s="1">
        <v>0</v>
      </c>
      <c r="B765" s="1">
        <v>764</v>
      </c>
      <c r="C765">
        <v>25</v>
      </c>
      <c r="D765">
        <v>209000</v>
      </c>
      <c r="E765" s="2">
        <v>46185</v>
      </c>
      <c r="F765" s="4">
        <v>0.70276620370370368</v>
      </c>
    </row>
    <row r="766" spans="1:6" x14ac:dyDescent="0.25">
      <c r="A766" s="1">
        <v>0</v>
      </c>
      <c r="B766" s="1">
        <v>765</v>
      </c>
      <c r="C766">
        <v>26</v>
      </c>
      <c r="D766">
        <v>578999</v>
      </c>
      <c r="E766" s="2">
        <v>46185</v>
      </c>
      <c r="F766" s="4">
        <v>0.70276620370370368</v>
      </c>
    </row>
    <row r="767" spans="1:6" x14ac:dyDescent="0.25">
      <c r="A767" s="1">
        <v>0</v>
      </c>
      <c r="B767" s="1">
        <v>766</v>
      </c>
      <c r="C767">
        <v>101</v>
      </c>
      <c r="D767">
        <v>17894</v>
      </c>
      <c r="E767" s="2">
        <v>46185</v>
      </c>
      <c r="F767" s="4">
        <v>0.70276620370370368</v>
      </c>
    </row>
    <row r="768" spans="1:6" x14ac:dyDescent="0.25">
      <c r="A768" s="1">
        <v>0</v>
      </c>
      <c r="B768" s="1">
        <v>767</v>
      </c>
      <c r="C768">
        <v>102</v>
      </c>
      <c r="D768">
        <v>12800</v>
      </c>
      <c r="E768" s="2">
        <v>46185</v>
      </c>
      <c r="F768" s="4">
        <v>0.70276620370370368</v>
      </c>
    </row>
    <row r="769" spans="1:6" x14ac:dyDescent="0.25">
      <c r="A769" s="1">
        <v>0</v>
      </c>
      <c r="B769" s="1">
        <v>768</v>
      </c>
      <c r="C769">
        <v>103</v>
      </c>
      <c r="D769">
        <v>149500</v>
      </c>
      <c r="E769" s="2">
        <v>46185</v>
      </c>
      <c r="F769" s="4">
        <v>0.70276620370370368</v>
      </c>
    </row>
    <row r="770" spans="1:6" x14ac:dyDescent="0.25">
      <c r="A770" s="1">
        <v>0</v>
      </c>
      <c r="B770" s="1">
        <v>769</v>
      </c>
      <c r="C770">
        <v>200</v>
      </c>
      <c r="D770">
        <v>13200</v>
      </c>
      <c r="E770" s="2">
        <v>46185</v>
      </c>
      <c r="F770" s="4">
        <v>0.70276620370370368</v>
      </c>
    </row>
    <row r="771" spans="1:6" x14ac:dyDescent="0.25">
      <c r="A771" s="1">
        <v>0</v>
      </c>
      <c r="B771" s="1">
        <v>770</v>
      </c>
      <c r="C771">
        <v>201</v>
      </c>
      <c r="D771">
        <v>19200</v>
      </c>
      <c r="E771" s="2">
        <v>46185</v>
      </c>
      <c r="F771" s="4">
        <v>0.70276620370370368</v>
      </c>
    </row>
    <row r="772" spans="1:6" x14ac:dyDescent="0.25">
      <c r="A772" s="1">
        <v>0</v>
      </c>
      <c r="B772" s="1">
        <v>771</v>
      </c>
      <c r="C772">
        <v>202</v>
      </c>
      <c r="D772">
        <v>15200</v>
      </c>
      <c r="E772" s="2">
        <v>46185</v>
      </c>
      <c r="F772" s="4">
        <v>0.70276620370370368</v>
      </c>
    </row>
    <row r="773" spans="1:6" x14ac:dyDescent="0.25">
      <c r="A773" s="1">
        <v>0</v>
      </c>
      <c r="B773" s="1">
        <v>772</v>
      </c>
      <c r="C773">
        <v>203</v>
      </c>
      <c r="D773">
        <v>25199</v>
      </c>
      <c r="E773" s="2">
        <v>46185</v>
      </c>
      <c r="F773" s="4">
        <v>0.70276620370370368</v>
      </c>
    </row>
    <row r="774" spans="1:6" x14ac:dyDescent="0.25">
      <c r="A774" s="1">
        <v>0</v>
      </c>
      <c r="B774" s="1">
        <v>773</v>
      </c>
      <c r="C774">
        <v>204</v>
      </c>
      <c r="D774">
        <v>24200</v>
      </c>
      <c r="E774" s="2">
        <v>46185</v>
      </c>
      <c r="F774" s="4">
        <v>0.70276620370370368</v>
      </c>
    </row>
    <row r="775" spans="1:6" x14ac:dyDescent="0.25">
      <c r="A775" s="1">
        <v>0</v>
      </c>
      <c r="B775" s="1">
        <v>774</v>
      </c>
      <c r="C775">
        <v>205</v>
      </c>
      <c r="D775">
        <v>25000</v>
      </c>
      <c r="E775" s="2">
        <v>46185</v>
      </c>
      <c r="F775" s="4">
        <v>0.70276620370370368</v>
      </c>
    </row>
    <row r="776" spans="1:6" x14ac:dyDescent="0.25">
      <c r="A776" s="1">
        <v>0</v>
      </c>
      <c r="B776" s="1">
        <v>775</v>
      </c>
      <c r="C776">
        <v>206</v>
      </c>
      <c r="D776">
        <v>49399</v>
      </c>
      <c r="E776" s="2">
        <v>46185</v>
      </c>
      <c r="F776" s="4">
        <v>0.70276620370370368</v>
      </c>
    </row>
    <row r="777" spans="1:6" x14ac:dyDescent="0.25">
      <c r="A777" s="1">
        <v>0</v>
      </c>
      <c r="B777" s="1">
        <v>776</v>
      </c>
      <c r="C777">
        <v>207</v>
      </c>
      <c r="D777">
        <v>34200</v>
      </c>
      <c r="E777" s="2">
        <v>46185</v>
      </c>
      <c r="F777" s="4">
        <v>0.70276620370370368</v>
      </c>
    </row>
    <row r="778" spans="1:6" x14ac:dyDescent="0.25">
      <c r="A778" s="1">
        <v>0</v>
      </c>
      <c r="B778" s="1">
        <v>777</v>
      </c>
      <c r="C778">
        <v>1</v>
      </c>
      <c r="D778">
        <v>17600</v>
      </c>
      <c r="E778" t="s">
        <v>324</v>
      </c>
      <c r="F778" t="s">
        <v>325</v>
      </c>
    </row>
    <row r="779" spans="1:6" x14ac:dyDescent="0.25">
      <c r="A779" s="1">
        <v>0</v>
      </c>
      <c r="B779" s="1">
        <v>778</v>
      </c>
      <c r="C779">
        <v>2</v>
      </c>
      <c r="D779">
        <v>5900</v>
      </c>
      <c r="E779" t="s">
        <v>324</v>
      </c>
      <c r="F779" t="s">
        <v>325</v>
      </c>
    </row>
    <row r="780" spans="1:6" x14ac:dyDescent="0.25">
      <c r="A780" s="1">
        <v>0</v>
      </c>
      <c r="B780" s="1">
        <v>779</v>
      </c>
      <c r="C780">
        <v>3</v>
      </c>
      <c r="D780">
        <v>65750</v>
      </c>
      <c r="E780" t="s">
        <v>324</v>
      </c>
      <c r="F780" t="s">
        <v>325</v>
      </c>
    </row>
    <row r="781" spans="1:6" x14ac:dyDescent="0.25">
      <c r="A781" s="1">
        <v>0</v>
      </c>
      <c r="B781" s="1">
        <v>780</v>
      </c>
      <c r="C781">
        <v>9</v>
      </c>
      <c r="D781">
        <v>6600</v>
      </c>
      <c r="E781" t="s">
        <v>324</v>
      </c>
      <c r="F781" t="s">
        <v>325</v>
      </c>
    </row>
    <row r="782" spans="1:6" x14ac:dyDescent="0.25">
      <c r="A782" s="1">
        <v>0</v>
      </c>
      <c r="B782" s="1">
        <v>781</v>
      </c>
      <c r="C782">
        <v>10</v>
      </c>
      <c r="D782">
        <v>400000</v>
      </c>
      <c r="E782" t="s">
        <v>324</v>
      </c>
      <c r="F782" t="s">
        <v>325</v>
      </c>
    </row>
    <row r="783" spans="1:6" x14ac:dyDescent="0.25">
      <c r="A783" s="1">
        <v>0</v>
      </c>
      <c r="B783" s="1">
        <v>782</v>
      </c>
      <c r="C783">
        <v>11</v>
      </c>
      <c r="D783">
        <v>807692</v>
      </c>
      <c r="E783" t="s">
        <v>324</v>
      </c>
      <c r="F783" t="s">
        <v>325</v>
      </c>
    </row>
    <row r="784" spans="1:6" x14ac:dyDescent="0.25">
      <c r="A784" s="1">
        <v>0</v>
      </c>
      <c r="B784" s="1">
        <v>783</v>
      </c>
      <c r="C784">
        <v>12</v>
      </c>
      <c r="D784">
        <v>10400</v>
      </c>
      <c r="E784" t="s">
        <v>324</v>
      </c>
      <c r="F784" t="s">
        <v>325</v>
      </c>
    </row>
    <row r="785" spans="1:6" x14ac:dyDescent="0.25">
      <c r="A785" s="1">
        <v>0</v>
      </c>
      <c r="B785" s="1">
        <v>784</v>
      </c>
      <c r="C785">
        <v>13</v>
      </c>
      <c r="D785">
        <v>190000</v>
      </c>
      <c r="E785" t="s">
        <v>324</v>
      </c>
      <c r="F785" t="s">
        <v>325</v>
      </c>
    </row>
    <row r="786" spans="1:6" x14ac:dyDescent="0.25">
      <c r="A786" s="1">
        <v>0</v>
      </c>
      <c r="B786" s="1">
        <v>785</v>
      </c>
      <c r="C786">
        <v>14</v>
      </c>
      <c r="D786">
        <v>750000</v>
      </c>
      <c r="E786" t="s">
        <v>324</v>
      </c>
      <c r="F786" t="s">
        <v>325</v>
      </c>
    </row>
    <row r="787" spans="1:6" x14ac:dyDescent="0.25">
      <c r="A787" s="1">
        <v>0</v>
      </c>
      <c r="B787" s="1">
        <v>786</v>
      </c>
      <c r="C787">
        <v>15</v>
      </c>
      <c r="D787">
        <v>6600</v>
      </c>
      <c r="E787" t="s">
        <v>324</v>
      </c>
      <c r="F787" t="s">
        <v>325</v>
      </c>
    </row>
    <row r="788" spans="1:6" x14ac:dyDescent="0.25">
      <c r="A788" s="1">
        <v>0</v>
      </c>
      <c r="B788" s="1">
        <v>787</v>
      </c>
      <c r="C788">
        <v>16</v>
      </c>
      <c r="D788">
        <v>170000</v>
      </c>
      <c r="E788" t="s">
        <v>324</v>
      </c>
      <c r="F788" t="s">
        <v>325</v>
      </c>
    </row>
    <row r="789" spans="1:6" x14ac:dyDescent="0.25">
      <c r="A789" s="1">
        <v>0</v>
      </c>
      <c r="B789" s="1">
        <v>788</v>
      </c>
      <c r="C789">
        <v>17</v>
      </c>
      <c r="D789">
        <v>872625</v>
      </c>
      <c r="E789" t="s">
        <v>324</v>
      </c>
      <c r="F789" t="s">
        <v>325</v>
      </c>
    </row>
    <row r="790" spans="1:6" x14ac:dyDescent="0.25">
      <c r="A790" s="1">
        <v>0</v>
      </c>
      <c r="B790" s="1">
        <v>789</v>
      </c>
      <c r="C790">
        <v>18</v>
      </c>
      <c r="D790">
        <v>5700</v>
      </c>
      <c r="E790" t="s">
        <v>324</v>
      </c>
      <c r="F790" t="s">
        <v>325</v>
      </c>
    </row>
    <row r="791" spans="1:6" x14ac:dyDescent="0.25">
      <c r="A791" s="1">
        <v>0</v>
      </c>
      <c r="B791" s="1">
        <v>790</v>
      </c>
      <c r="C791">
        <v>19</v>
      </c>
      <c r="D791">
        <v>252000</v>
      </c>
      <c r="E791" t="s">
        <v>324</v>
      </c>
      <c r="F791" t="s">
        <v>325</v>
      </c>
    </row>
    <row r="792" spans="1:6" x14ac:dyDescent="0.25">
      <c r="A792" s="1">
        <v>0</v>
      </c>
      <c r="B792" s="1">
        <v>791</v>
      </c>
      <c r="C792">
        <v>20</v>
      </c>
      <c r="D792">
        <v>750000</v>
      </c>
      <c r="E792" t="s">
        <v>324</v>
      </c>
      <c r="F792" t="s">
        <v>325</v>
      </c>
    </row>
    <row r="793" spans="1:6" x14ac:dyDescent="0.25">
      <c r="A793" s="1">
        <v>0</v>
      </c>
      <c r="B793" s="1">
        <v>792</v>
      </c>
      <c r="C793">
        <v>21</v>
      </c>
      <c r="D793">
        <v>6800</v>
      </c>
      <c r="E793" t="s">
        <v>324</v>
      </c>
      <c r="F793" t="s">
        <v>325</v>
      </c>
    </row>
    <row r="794" spans="1:6" x14ac:dyDescent="0.25">
      <c r="A794" s="1">
        <v>0</v>
      </c>
      <c r="B794" s="1">
        <v>793</v>
      </c>
      <c r="C794">
        <v>22</v>
      </c>
      <c r="D794">
        <v>259000</v>
      </c>
      <c r="E794" t="s">
        <v>324</v>
      </c>
      <c r="F794" t="s">
        <v>325</v>
      </c>
    </row>
    <row r="795" spans="1:6" x14ac:dyDescent="0.25">
      <c r="A795" s="1">
        <v>0</v>
      </c>
      <c r="B795" s="1">
        <v>794</v>
      </c>
      <c r="C795">
        <v>23</v>
      </c>
      <c r="D795">
        <v>828000</v>
      </c>
      <c r="E795" t="s">
        <v>324</v>
      </c>
      <c r="F795" t="s">
        <v>325</v>
      </c>
    </row>
    <row r="796" spans="1:6" x14ac:dyDescent="0.25">
      <c r="A796" s="1">
        <v>0</v>
      </c>
      <c r="B796" s="1">
        <v>795</v>
      </c>
      <c r="C796">
        <v>24</v>
      </c>
      <c r="D796">
        <v>13000</v>
      </c>
      <c r="E796" t="s">
        <v>324</v>
      </c>
      <c r="F796" t="s">
        <v>325</v>
      </c>
    </row>
    <row r="797" spans="1:6" x14ac:dyDescent="0.25">
      <c r="A797" s="1">
        <v>0</v>
      </c>
      <c r="B797" s="1">
        <v>796</v>
      </c>
      <c r="C797">
        <v>25</v>
      </c>
      <c r="D797">
        <v>217000</v>
      </c>
      <c r="E797" t="s">
        <v>324</v>
      </c>
      <c r="F797" t="s">
        <v>325</v>
      </c>
    </row>
    <row r="798" spans="1:6" x14ac:dyDescent="0.25">
      <c r="A798" s="1">
        <v>0</v>
      </c>
      <c r="B798" s="1">
        <v>797</v>
      </c>
      <c r="C798">
        <v>26</v>
      </c>
      <c r="D798">
        <v>578999</v>
      </c>
      <c r="E798" t="s">
        <v>324</v>
      </c>
      <c r="F798" t="s">
        <v>325</v>
      </c>
    </row>
    <row r="799" spans="1:6" x14ac:dyDescent="0.25">
      <c r="A799" s="1">
        <v>0</v>
      </c>
      <c r="B799" s="1">
        <v>798</v>
      </c>
      <c r="C799">
        <v>101</v>
      </c>
      <c r="D799">
        <v>23000</v>
      </c>
      <c r="E799" t="s">
        <v>324</v>
      </c>
      <c r="F799" t="s">
        <v>325</v>
      </c>
    </row>
    <row r="800" spans="1:6" x14ac:dyDescent="0.25">
      <c r="A800" s="1">
        <v>0</v>
      </c>
      <c r="B800" s="1">
        <v>799</v>
      </c>
      <c r="C800">
        <v>102</v>
      </c>
      <c r="D800">
        <v>14800</v>
      </c>
      <c r="E800" t="s">
        <v>324</v>
      </c>
      <c r="F800" t="s">
        <v>325</v>
      </c>
    </row>
    <row r="801" spans="1:6" x14ac:dyDescent="0.25">
      <c r="A801" s="1">
        <v>0</v>
      </c>
      <c r="B801" s="1">
        <v>800</v>
      </c>
      <c r="C801">
        <v>103</v>
      </c>
      <c r="D801">
        <v>105000</v>
      </c>
      <c r="E801" t="s">
        <v>324</v>
      </c>
      <c r="F801" t="s">
        <v>325</v>
      </c>
    </row>
    <row r="802" spans="1:6" x14ac:dyDescent="0.25">
      <c r="A802" s="1">
        <v>0</v>
      </c>
      <c r="B802" s="1">
        <v>801</v>
      </c>
      <c r="C802">
        <v>200</v>
      </c>
      <c r="D802">
        <v>14000</v>
      </c>
      <c r="E802" t="s">
        <v>324</v>
      </c>
      <c r="F802" t="s">
        <v>325</v>
      </c>
    </row>
    <row r="803" spans="1:6" x14ac:dyDescent="0.25">
      <c r="A803" s="1">
        <v>0</v>
      </c>
      <c r="B803" s="1">
        <v>802</v>
      </c>
      <c r="C803">
        <v>201</v>
      </c>
      <c r="D803">
        <v>12000</v>
      </c>
      <c r="E803" t="s">
        <v>324</v>
      </c>
      <c r="F803" t="s">
        <v>325</v>
      </c>
    </row>
    <row r="804" spans="1:6" x14ac:dyDescent="0.25">
      <c r="A804" s="1">
        <v>0</v>
      </c>
      <c r="B804" s="1">
        <v>803</v>
      </c>
      <c r="C804">
        <v>202</v>
      </c>
      <c r="D804">
        <v>9800</v>
      </c>
      <c r="E804" t="s">
        <v>324</v>
      </c>
      <c r="F804" t="s">
        <v>325</v>
      </c>
    </row>
    <row r="805" spans="1:6" x14ac:dyDescent="0.25">
      <c r="A805" s="1">
        <v>0</v>
      </c>
      <c r="B805" s="1">
        <v>804</v>
      </c>
      <c r="C805">
        <v>203</v>
      </c>
      <c r="D805">
        <v>19800</v>
      </c>
      <c r="E805" t="s">
        <v>324</v>
      </c>
      <c r="F805" t="s">
        <v>325</v>
      </c>
    </row>
    <row r="806" spans="1:6" x14ac:dyDescent="0.25">
      <c r="A806" s="1">
        <v>0</v>
      </c>
      <c r="B806" s="1">
        <v>805</v>
      </c>
      <c r="C806">
        <v>204</v>
      </c>
      <c r="D806">
        <v>24200</v>
      </c>
      <c r="E806" t="s">
        <v>324</v>
      </c>
      <c r="F806" t="s">
        <v>325</v>
      </c>
    </row>
    <row r="807" spans="1:6" x14ac:dyDescent="0.25">
      <c r="A807" s="1">
        <v>0</v>
      </c>
      <c r="B807" s="1">
        <v>806</v>
      </c>
      <c r="C807">
        <v>205</v>
      </c>
      <c r="D807">
        <v>22200</v>
      </c>
      <c r="E807" t="s">
        <v>324</v>
      </c>
      <c r="F807" t="s">
        <v>325</v>
      </c>
    </row>
    <row r="808" spans="1:6" x14ac:dyDescent="0.25">
      <c r="A808" s="1">
        <v>0</v>
      </c>
      <c r="B808" s="1">
        <v>807</v>
      </c>
      <c r="C808">
        <v>206</v>
      </c>
      <c r="D808">
        <v>54500</v>
      </c>
      <c r="E808" t="s">
        <v>324</v>
      </c>
      <c r="F808" t="s">
        <v>325</v>
      </c>
    </row>
    <row r="809" spans="1:6" x14ac:dyDescent="0.25">
      <c r="A809" s="1">
        <v>0</v>
      </c>
      <c r="B809" s="1">
        <v>808</v>
      </c>
      <c r="C809">
        <v>207</v>
      </c>
      <c r="D809">
        <v>30000</v>
      </c>
      <c r="E809" t="s">
        <v>324</v>
      </c>
      <c r="F809" t="s">
        <v>325</v>
      </c>
    </row>
    <row r="810" spans="1:6" x14ac:dyDescent="0.25">
      <c r="A810" s="1">
        <v>0</v>
      </c>
      <c r="B810" s="1">
        <v>809</v>
      </c>
      <c r="C810">
        <v>1</v>
      </c>
      <c r="D810">
        <v>10000</v>
      </c>
      <c r="E810" t="s">
        <v>324</v>
      </c>
      <c r="F810" t="s">
        <v>326</v>
      </c>
    </row>
    <row r="811" spans="1:6" x14ac:dyDescent="0.25">
      <c r="A811" s="1">
        <v>0</v>
      </c>
      <c r="B811" s="1">
        <v>810</v>
      </c>
      <c r="C811">
        <v>2</v>
      </c>
      <c r="D811">
        <v>8200</v>
      </c>
      <c r="E811" t="s">
        <v>324</v>
      </c>
      <c r="F811" t="s">
        <v>326</v>
      </c>
    </row>
    <row r="812" spans="1:6" x14ac:dyDescent="0.25">
      <c r="A812" s="1">
        <v>0</v>
      </c>
      <c r="B812" s="1">
        <v>811</v>
      </c>
      <c r="C812">
        <v>3</v>
      </c>
      <c r="D812">
        <v>60000</v>
      </c>
      <c r="E812" t="s">
        <v>324</v>
      </c>
      <c r="F812" t="s">
        <v>326</v>
      </c>
    </row>
    <row r="813" spans="1:6" x14ac:dyDescent="0.25">
      <c r="A813" s="1">
        <v>0</v>
      </c>
      <c r="B813" s="1">
        <v>812</v>
      </c>
      <c r="C813">
        <v>9</v>
      </c>
      <c r="D813">
        <v>6100</v>
      </c>
      <c r="E813" t="s">
        <v>324</v>
      </c>
      <c r="F813" t="s">
        <v>326</v>
      </c>
    </row>
    <row r="814" spans="1:6" x14ac:dyDescent="0.25">
      <c r="A814" s="1">
        <v>0</v>
      </c>
      <c r="B814" s="1">
        <v>813</v>
      </c>
      <c r="C814">
        <v>10</v>
      </c>
      <c r="D814">
        <v>910000</v>
      </c>
      <c r="E814" t="s">
        <v>324</v>
      </c>
      <c r="F814" t="s">
        <v>326</v>
      </c>
    </row>
    <row r="815" spans="1:6" x14ac:dyDescent="0.25">
      <c r="A815" s="1">
        <v>0</v>
      </c>
      <c r="B815" s="1">
        <v>814</v>
      </c>
      <c r="C815">
        <v>11</v>
      </c>
      <c r="D815">
        <v>807692</v>
      </c>
      <c r="E815" t="s">
        <v>324</v>
      </c>
      <c r="F815" t="s">
        <v>326</v>
      </c>
    </row>
    <row r="816" spans="1:6" x14ac:dyDescent="0.25">
      <c r="A816" s="1">
        <v>0</v>
      </c>
      <c r="B816" s="1">
        <v>815</v>
      </c>
      <c r="C816">
        <v>12</v>
      </c>
      <c r="D816">
        <v>9500</v>
      </c>
      <c r="E816" t="s">
        <v>324</v>
      </c>
      <c r="F816" t="s">
        <v>326</v>
      </c>
    </row>
    <row r="817" spans="1:6" x14ac:dyDescent="0.25">
      <c r="A817" s="1">
        <v>0</v>
      </c>
      <c r="B817" s="1">
        <v>816</v>
      </c>
      <c r="C817">
        <v>13</v>
      </c>
      <c r="D817">
        <v>607000</v>
      </c>
      <c r="E817" t="s">
        <v>324</v>
      </c>
      <c r="F817" t="s">
        <v>326</v>
      </c>
    </row>
    <row r="818" spans="1:6" x14ac:dyDescent="0.25">
      <c r="A818" s="1">
        <v>0</v>
      </c>
      <c r="B818" s="1">
        <v>817</v>
      </c>
      <c r="C818">
        <v>14</v>
      </c>
      <c r="D818">
        <v>750000</v>
      </c>
      <c r="E818" t="s">
        <v>324</v>
      </c>
      <c r="F818" t="s">
        <v>326</v>
      </c>
    </row>
    <row r="819" spans="1:6" x14ac:dyDescent="0.25">
      <c r="A819" s="1">
        <v>0</v>
      </c>
      <c r="B819" s="1">
        <v>818</v>
      </c>
      <c r="C819">
        <v>15</v>
      </c>
      <c r="D819">
        <v>6500</v>
      </c>
      <c r="E819" t="s">
        <v>324</v>
      </c>
      <c r="F819" t="s">
        <v>326</v>
      </c>
    </row>
    <row r="820" spans="1:6" x14ac:dyDescent="0.25">
      <c r="A820" s="1">
        <v>0</v>
      </c>
      <c r="B820" s="1">
        <v>819</v>
      </c>
      <c r="C820">
        <v>16</v>
      </c>
      <c r="D820">
        <v>250000</v>
      </c>
      <c r="E820" t="s">
        <v>324</v>
      </c>
      <c r="F820" t="s">
        <v>326</v>
      </c>
    </row>
    <row r="821" spans="1:6" x14ac:dyDescent="0.25">
      <c r="A821" s="1">
        <v>0</v>
      </c>
      <c r="B821" s="1">
        <v>820</v>
      </c>
      <c r="C821">
        <v>17</v>
      </c>
      <c r="D821">
        <v>872625</v>
      </c>
      <c r="E821" t="s">
        <v>324</v>
      </c>
      <c r="F821" t="s">
        <v>326</v>
      </c>
    </row>
    <row r="822" spans="1:6" x14ac:dyDescent="0.25">
      <c r="A822" s="1">
        <v>0</v>
      </c>
      <c r="B822" s="1">
        <v>821</v>
      </c>
      <c r="C822">
        <v>18</v>
      </c>
      <c r="D822">
        <v>5600</v>
      </c>
      <c r="E822" t="s">
        <v>324</v>
      </c>
      <c r="F822" t="s">
        <v>326</v>
      </c>
    </row>
    <row r="823" spans="1:6" x14ac:dyDescent="0.25">
      <c r="A823" s="1">
        <v>0</v>
      </c>
      <c r="B823" s="1">
        <v>822</v>
      </c>
      <c r="C823">
        <v>19</v>
      </c>
      <c r="D823">
        <v>295000</v>
      </c>
      <c r="E823" t="s">
        <v>324</v>
      </c>
      <c r="F823" t="s">
        <v>326</v>
      </c>
    </row>
    <row r="824" spans="1:6" x14ac:dyDescent="0.25">
      <c r="A824" s="1">
        <v>0</v>
      </c>
      <c r="B824" s="1">
        <v>823</v>
      </c>
      <c r="C824">
        <v>20</v>
      </c>
      <c r="D824">
        <v>750000</v>
      </c>
      <c r="E824" t="s">
        <v>324</v>
      </c>
      <c r="F824" t="s">
        <v>326</v>
      </c>
    </row>
    <row r="825" spans="1:6" x14ac:dyDescent="0.25">
      <c r="A825" s="1">
        <v>0</v>
      </c>
      <c r="B825" s="1">
        <v>824</v>
      </c>
      <c r="C825">
        <v>21</v>
      </c>
      <c r="D825">
        <v>6500</v>
      </c>
      <c r="E825" t="s">
        <v>324</v>
      </c>
      <c r="F825" t="s">
        <v>326</v>
      </c>
    </row>
    <row r="826" spans="1:6" x14ac:dyDescent="0.25">
      <c r="A826" s="1">
        <v>0</v>
      </c>
      <c r="B826" s="1">
        <v>825</v>
      </c>
      <c r="C826">
        <v>22</v>
      </c>
      <c r="D826">
        <v>390000</v>
      </c>
      <c r="E826" t="s">
        <v>324</v>
      </c>
      <c r="F826" t="s">
        <v>326</v>
      </c>
    </row>
    <row r="827" spans="1:6" x14ac:dyDescent="0.25">
      <c r="A827" s="1">
        <v>0</v>
      </c>
      <c r="B827" s="1">
        <v>826</v>
      </c>
      <c r="C827">
        <v>23</v>
      </c>
      <c r="D827">
        <v>828000</v>
      </c>
      <c r="E827" t="s">
        <v>324</v>
      </c>
      <c r="F827" t="s">
        <v>326</v>
      </c>
    </row>
    <row r="828" spans="1:6" x14ac:dyDescent="0.25">
      <c r="A828" s="1">
        <v>0</v>
      </c>
      <c r="B828" s="1">
        <v>827</v>
      </c>
      <c r="C828">
        <v>24</v>
      </c>
      <c r="D828">
        <v>10800</v>
      </c>
      <c r="E828" t="s">
        <v>324</v>
      </c>
      <c r="F828" t="s">
        <v>326</v>
      </c>
    </row>
    <row r="829" spans="1:6" x14ac:dyDescent="0.25">
      <c r="A829" s="1">
        <v>0</v>
      </c>
      <c r="B829" s="1">
        <v>828</v>
      </c>
      <c r="C829">
        <v>25</v>
      </c>
      <c r="D829">
        <v>213000</v>
      </c>
      <c r="E829" t="s">
        <v>324</v>
      </c>
      <c r="F829" t="s">
        <v>326</v>
      </c>
    </row>
    <row r="830" spans="1:6" x14ac:dyDescent="0.25">
      <c r="A830" s="1">
        <v>0</v>
      </c>
      <c r="B830" s="1">
        <v>829</v>
      </c>
      <c r="C830">
        <v>26</v>
      </c>
      <c r="D830">
        <v>578999</v>
      </c>
      <c r="E830" t="s">
        <v>324</v>
      </c>
      <c r="F830" t="s">
        <v>326</v>
      </c>
    </row>
    <row r="831" spans="1:6" x14ac:dyDescent="0.25">
      <c r="A831" s="1">
        <v>0</v>
      </c>
      <c r="B831" s="1">
        <v>830</v>
      </c>
      <c r="C831">
        <v>101</v>
      </c>
      <c r="D831">
        <v>22000</v>
      </c>
      <c r="E831" t="s">
        <v>324</v>
      </c>
      <c r="F831" t="s">
        <v>326</v>
      </c>
    </row>
    <row r="832" spans="1:6" x14ac:dyDescent="0.25">
      <c r="A832" s="1">
        <v>0</v>
      </c>
      <c r="B832" s="1">
        <v>831</v>
      </c>
      <c r="C832">
        <v>102</v>
      </c>
      <c r="D832">
        <v>14005</v>
      </c>
      <c r="E832" t="s">
        <v>324</v>
      </c>
      <c r="F832" t="s">
        <v>326</v>
      </c>
    </row>
    <row r="833" spans="1:6" x14ac:dyDescent="0.25">
      <c r="A833" s="1">
        <v>0</v>
      </c>
      <c r="B833" s="1">
        <v>832</v>
      </c>
      <c r="C833">
        <v>103</v>
      </c>
      <c r="D833">
        <v>107500</v>
      </c>
      <c r="E833" t="s">
        <v>324</v>
      </c>
      <c r="F833" t="s">
        <v>326</v>
      </c>
    </row>
    <row r="834" spans="1:6" x14ac:dyDescent="0.25">
      <c r="A834" s="1">
        <v>0</v>
      </c>
      <c r="B834" s="1">
        <v>833</v>
      </c>
      <c r="C834">
        <v>200</v>
      </c>
      <c r="D834">
        <v>27399</v>
      </c>
      <c r="E834" t="s">
        <v>324</v>
      </c>
      <c r="F834" t="s">
        <v>326</v>
      </c>
    </row>
    <row r="835" spans="1:6" x14ac:dyDescent="0.25">
      <c r="A835" s="1">
        <v>0</v>
      </c>
      <c r="B835" s="1">
        <v>834</v>
      </c>
      <c r="C835">
        <v>201</v>
      </c>
      <c r="D835">
        <v>11000</v>
      </c>
      <c r="E835" t="s">
        <v>324</v>
      </c>
      <c r="F835" t="s">
        <v>326</v>
      </c>
    </row>
    <row r="836" spans="1:6" x14ac:dyDescent="0.25">
      <c r="A836" s="1">
        <v>0</v>
      </c>
      <c r="B836" s="1">
        <v>835</v>
      </c>
      <c r="C836">
        <v>202</v>
      </c>
      <c r="D836">
        <v>13600</v>
      </c>
      <c r="E836" t="s">
        <v>324</v>
      </c>
      <c r="F836" t="s">
        <v>326</v>
      </c>
    </row>
    <row r="837" spans="1:6" x14ac:dyDescent="0.25">
      <c r="A837" s="1">
        <v>0</v>
      </c>
      <c r="B837" s="1">
        <v>836</v>
      </c>
      <c r="C837">
        <v>203</v>
      </c>
      <c r="D837">
        <v>17499</v>
      </c>
      <c r="E837" t="s">
        <v>324</v>
      </c>
      <c r="F837" t="s">
        <v>326</v>
      </c>
    </row>
    <row r="838" spans="1:6" x14ac:dyDescent="0.25">
      <c r="A838" s="1">
        <v>0</v>
      </c>
      <c r="B838" s="1">
        <v>837</v>
      </c>
      <c r="C838">
        <v>204</v>
      </c>
      <c r="D838">
        <v>34400</v>
      </c>
      <c r="E838" t="s">
        <v>324</v>
      </c>
      <c r="F838" t="s">
        <v>326</v>
      </c>
    </row>
    <row r="839" spans="1:6" x14ac:dyDescent="0.25">
      <c r="A839" s="1">
        <v>0</v>
      </c>
      <c r="B839" s="1">
        <v>838</v>
      </c>
      <c r="C839">
        <v>205</v>
      </c>
      <c r="D839">
        <v>21200</v>
      </c>
      <c r="E839" t="s">
        <v>324</v>
      </c>
      <c r="F839" t="s">
        <v>326</v>
      </c>
    </row>
    <row r="840" spans="1:6" x14ac:dyDescent="0.25">
      <c r="A840" s="1">
        <v>0</v>
      </c>
      <c r="B840" s="1">
        <v>839</v>
      </c>
      <c r="C840">
        <v>206</v>
      </c>
      <c r="D840">
        <v>49500</v>
      </c>
      <c r="E840" t="s">
        <v>324</v>
      </c>
      <c r="F840" t="s">
        <v>326</v>
      </c>
    </row>
    <row r="841" spans="1:6" x14ac:dyDescent="0.25">
      <c r="A841" s="1">
        <v>0</v>
      </c>
      <c r="B841" s="1">
        <v>840</v>
      </c>
      <c r="C841">
        <v>207</v>
      </c>
      <c r="D841">
        <v>30400</v>
      </c>
      <c r="E841" t="s">
        <v>324</v>
      </c>
      <c r="F841" t="s">
        <v>326</v>
      </c>
    </row>
    <row r="842" spans="1:6" x14ac:dyDescent="0.25">
      <c r="A842" s="1">
        <v>0</v>
      </c>
      <c r="B842" s="1">
        <v>841</v>
      </c>
      <c r="C842">
        <v>1</v>
      </c>
      <c r="D842">
        <v>15400</v>
      </c>
      <c r="E842" t="s">
        <v>324</v>
      </c>
      <c r="F842" t="s">
        <v>327</v>
      </c>
    </row>
    <row r="843" spans="1:6" x14ac:dyDescent="0.25">
      <c r="A843" s="1">
        <v>0</v>
      </c>
      <c r="B843" s="1">
        <v>842</v>
      </c>
      <c r="C843">
        <v>2</v>
      </c>
      <c r="D843">
        <v>9400</v>
      </c>
      <c r="E843" t="s">
        <v>324</v>
      </c>
      <c r="F843" t="s">
        <v>327</v>
      </c>
    </row>
    <row r="844" spans="1:6" x14ac:dyDescent="0.25">
      <c r="A844" s="1">
        <v>0</v>
      </c>
      <c r="B844" s="1">
        <v>843</v>
      </c>
      <c r="C844">
        <v>3</v>
      </c>
      <c r="D844">
        <v>62499</v>
      </c>
      <c r="E844" t="s">
        <v>324</v>
      </c>
      <c r="F844" t="s">
        <v>327</v>
      </c>
    </row>
    <row r="845" spans="1:6" x14ac:dyDescent="0.25">
      <c r="A845" s="1">
        <v>0</v>
      </c>
      <c r="B845" s="1">
        <v>844</v>
      </c>
      <c r="C845">
        <v>9</v>
      </c>
      <c r="D845">
        <v>5600</v>
      </c>
      <c r="E845" t="s">
        <v>324</v>
      </c>
      <c r="F845" t="s">
        <v>327</v>
      </c>
    </row>
    <row r="846" spans="1:6" x14ac:dyDescent="0.25">
      <c r="A846" s="1">
        <v>0</v>
      </c>
      <c r="B846" s="1">
        <v>845</v>
      </c>
      <c r="C846">
        <v>10</v>
      </c>
      <c r="D846">
        <v>450000</v>
      </c>
      <c r="E846" t="s">
        <v>324</v>
      </c>
      <c r="F846" t="s">
        <v>327</v>
      </c>
    </row>
    <row r="847" spans="1:6" x14ac:dyDescent="0.25">
      <c r="A847" s="1">
        <v>0</v>
      </c>
      <c r="B847" s="1">
        <v>846</v>
      </c>
      <c r="C847">
        <v>11</v>
      </c>
      <c r="D847">
        <v>807692</v>
      </c>
      <c r="E847" t="s">
        <v>324</v>
      </c>
      <c r="F847" t="s">
        <v>327</v>
      </c>
    </row>
    <row r="848" spans="1:6" x14ac:dyDescent="0.25">
      <c r="A848" s="1">
        <v>0</v>
      </c>
      <c r="B848" s="1">
        <v>847</v>
      </c>
      <c r="C848">
        <v>12</v>
      </c>
      <c r="D848">
        <v>9900</v>
      </c>
      <c r="E848" t="s">
        <v>324</v>
      </c>
      <c r="F848" t="s">
        <v>327</v>
      </c>
    </row>
    <row r="849" spans="1:6" x14ac:dyDescent="0.25">
      <c r="A849" s="1">
        <v>0</v>
      </c>
      <c r="B849" s="1">
        <v>848</v>
      </c>
      <c r="C849">
        <v>13</v>
      </c>
      <c r="D849">
        <v>418000</v>
      </c>
      <c r="E849" t="s">
        <v>324</v>
      </c>
      <c r="F849" t="s">
        <v>327</v>
      </c>
    </row>
    <row r="850" spans="1:6" x14ac:dyDescent="0.25">
      <c r="A850" s="1">
        <v>0</v>
      </c>
      <c r="B850" s="1">
        <v>849</v>
      </c>
      <c r="C850">
        <v>14</v>
      </c>
      <c r="D850">
        <v>750000</v>
      </c>
      <c r="E850" t="s">
        <v>324</v>
      </c>
      <c r="F850" t="s">
        <v>327</v>
      </c>
    </row>
    <row r="851" spans="1:6" x14ac:dyDescent="0.25">
      <c r="A851" s="1">
        <v>0</v>
      </c>
      <c r="B851" s="1">
        <v>850</v>
      </c>
      <c r="C851">
        <v>15</v>
      </c>
      <c r="D851">
        <v>5450</v>
      </c>
      <c r="E851" t="s">
        <v>324</v>
      </c>
      <c r="F851" t="s">
        <v>327</v>
      </c>
    </row>
    <row r="852" spans="1:6" x14ac:dyDescent="0.25">
      <c r="A852" s="1">
        <v>0</v>
      </c>
      <c r="B852" s="1">
        <v>851</v>
      </c>
      <c r="C852">
        <v>16</v>
      </c>
      <c r="D852">
        <v>249000</v>
      </c>
      <c r="E852" t="s">
        <v>324</v>
      </c>
      <c r="F852" t="s">
        <v>327</v>
      </c>
    </row>
    <row r="853" spans="1:6" x14ac:dyDescent="0.25">
      <c r="A853" s="1">
        <v>0</v>
      </c>
      <c r="B853" s="1">
        <v>852</v>
      </c>
      <c r="C853">
        <v>17</v>
      </c>
      <c r="D853">
        <v>872625</v>
      </c>
      <c r="E853" t="s">
        <v>324</v>
      </c>
      <c r="F853" t="s">
        <v>327</v>
      </c>
    </row>
    <row r="854" spans="1:6" x14ac:dyDescent="0.25">
      <c r="A854" s="1">
        <v>0</v>
      </c>
      <c r="B854" s="1">
        <v>853</v>
      </c>
      <c r="C854">
        <v>18</v>
      </c>
      <c r="D854">
        <v>5000</v>
      </c>
      <c r="E854" t="s">
        <v>324</v>
      </c>
      <c r="F854" t="s">
        <v>327</v>
      </c>
    </row>
    <row r="855" spans="1:6" x14ac:dyDescent="0.25">
      <c r="A855" s="1">
        <v>0</v>
      </c>
      <c r="B855" s="1">
        <v>854</v>
      </c>
      <c r="C855">
        <v>19</v>
      </c>
      <c r="D855">
        <v>239000</v>
      </c>
      <c r="E855" t="s">
        <v>324</v>
      </c>
      <c r="F855" t="s">
        <v>327</v>
      </c>
    </row>
    <row r="856" spans="1:6" x14ac:dyDescent="0.25">
      <c r="A856" s="1">
        <v>0</v>
      </c>
      <c r="B856" s="1">
        <v>855</v>
      </c>
      <c r="C856">
        <v>20</v>
      </c>
      <c r="D856">
        <v>750000</v>
      </c>
      <c r="E856" t="s">
        <v>324</v>
      </c>
      <c r="F856" t="s">
        <v>327</v>
      </c>
    </row>
    <row r="857" spans="1:6" x14ac:dyDescent="0.25">
      <c r="A857" s="1">
        <v>0</v>
      </c>
      <c r="B857" s="1">
        <v>856</v>
      </c>
      <c r="C857">
        <v>21</v>
      </c>
      <c r="D857">
        <v>5800</v>
      </c>
      <c r="E857" t="s">
        <v>324</v>
      </c>
      <c r="F857" t="s">
        <v>327</v>
      </c>
    </row>
    <row r="858" spans="1:6" x14ac:dyDescent="0.25">
      <c r="A858" s="1">
        <v>0</v>
      </c>
      <c r="B858" s="1">
        <v>857</v>
      </c>
      <c r="C858">
        <v>22</v>
      </c>
      <c r="D858">
        <v>389000</v>
      </c>
      <c r="E858" t="s">
        <v>324</v>
      </c>
      <c r="F858" t="s">
        <v>327</v>
      </c>
    </row>
    <row r="859" spans="1:6" x14ac:dyDescent="0.25">
      <c r="A859" s="1">
        <v>0</v>
      </c>
      <c r="B859" s="1">
        <v>858</v>
      </c>
      <c r="C859">
        <v>23</v>
      </c>
      <c r="D859">
        <v>828000</v>
      </c>
      <c r="E859" t="s">
        <v>324</v>
      </c>
      <c r="F859" t="s">
        <v>327</v>
      </c>
    </row>
    <row r="860" spans="1:6" x14ac:dyDescent="0.25">
      <c r="A860" s="1">
        <v>0</v>
      </c>
      <c r="B860" s="1">
        <v>859</v>
      </c>
      <c r="C860">
        <v>24</v>
      </c>
      <c r="D860">
        <v>9495</v>
      </c>
      <c r="E860" t="s">
        <v>324</v>
      </c>
      <c r="F860" t="s">
        <v>327</v>
      </c>
    </row>
    <row r="861" spans="1:6" x14ac:dyDescent="0.25">
      <c r="A861" s="1">
        <v>0</v>
      </c>
      <c r="B861" s="1">
        <v>860</v>
      </c>
      <c r="C861">
        <v>25</v>
      </c>
      <c r="D861">
        <v>180000</v>
      </c>
      <c r="E861" t="s">
        <v>324</v>
      </c>
      <c r="F861" t="s">
        <v>327</v>
      </c>
    </row>
    <row r="862" spans="1:6" x14ac:dyDescent="0.25">
      <c r="A862" s="1">
        <v>0</v>
      </c>
      <c r="B862" s="1">
        <v>861</v>
      </c>
      <c r="C862">
        <v>26</v>
      </c>
      <c r="D862">
        <v>578999</v>
      </c>
      <c r="E862" t="s">
        <v>324</v>
      </c>
      <c r="F862" t="s">
        <v>327</v>
      </c>
    </row>
    <row r="863" spans="1:6" x14ac:dyDescent="0.25">
      <c r="A863" s="1">
        <v>0</v>
      </c>
      <c r="B863" s="1">
        <v>862</v>
      </c>
      <c r="C863">
        <v>101</v>
      </c>
      <c r="D863">
        <v>14799</v>
      </c>
      <c r="E863" t="s">
        <v>324</v>
      </c>
      <c r="F863" t="s">
        <v>327</v>
      </c>
    </row>
    <row r="864" spans="1:6" x14ac:dyDescent="0.25">
      <c r="A864" s="1">
        <v>0</v>
      </c>
      <c r="B864" s="1">
        <v>863</v>
      </c>
      <c r="C864">
        <v>102</v>
      </c>
      <c r="D864">
        <v>19000</v>
      </c>
      <c r="E864" t="s">
        <v>324</v>
      </c>
      <c r="F864" t="s">
        <v>327</v>
      </c>
    </row>
    <row r="865" spans="1:6" x14ac:dyDescent="0.25">
      <c r="A865" s="1">
        <v>0</v>
      </c>
      <c r="B865" s="1">
        <v>864</v>
      </c>
      <c r="C865">
        <v>103</v>
      </c>
      <c r="D865">
        <v>105000</v>
      </c>
      <c r="E865" t="s">
        <v>324</v>
      </c>
      <c r="F865" t="s">
        <v>327</v>
      </c>
    </row>
    <row r="866" spans="1:6" x14ac:dyDescent="0.25">
      <c r="A866" s="1">
        <v>0</v>
      </c>
      <c r="B866" s="1">
        <v>865</v>
      </c>
      <c r="C866">
        <v>200</v>
      </c>
      <c r="D866">
        <v>25000</v>
      </c>
      <c r="E866" t="s">
        <v>324</v>
      </c>
      <c r="F866" t="s">
        <v>327</v>
      </c>
    </row>
    <row r="867" spans="1:6" x14ac:dyDescent="0.25">
      <c r="A867" s="1">
        <v>0</v>
      </c>
      <c r="B867" s="1">
        <v>866</v>
      </c>
      <c r="C867">
        <v>201</v>
      </c>
      <c r="D867">
        <v>8500</v>
      </c>
      <c r="E867" t="s">
        <v>324</v>
      </c>
      <c r="F867" t="s">
        <v>327</v>
      </c>
    </row>
    <row r="868" spans="1:6" x14ac:dyDescent="0.25">
      <c r="A868" s="1">
        <v>0</v>
      </c>
      <c r="B868" s="1">
        <v>867</v>
      </c>
      <c r="C868">
        <v>202</v>
      </c>
      <c r="D868">
        <v>10500</v>
      </c>
      <c r="E868" t="s">
        <v>324</v>
      </c>
      <c r="F868" t="s">
        <v>327</v>
      </c>
    </row>
    <row r="869" spans="1:6" x14ac:dyDescent="0.25">
      <c r="A869" s="1">
        <v>0</v>
      </c>
      <c r="B869" s="1">
        <v>868</v>
      </c>
      <c r="C869">
        <v>203</v>
      </c>
      <c r="D869">
        <v>15000</v>
      </c>
      <c r="E869" t="s">
        <v>324</v>
      </c>
      <c r="F869" t="s">
        <v>327</v>
      </c>
    </row>
    <row r="870" spans="1:6" x14ac:dyDescent="0.25">
      <c r="A870" s="1">
        <v>0</v>
      </c>
      <c r="B870" s="1">
        <v>869</v>
      </c>
      <c r="C870">
        <v>204</v>
      </c>
      <c r="D870">
        <v>29400</v>
      </c>
      <c r="E870" t="s">
        <v>324</v>
      </c>
      <c r="F870" t="s">
        <v>327</v>
      </c>
    </row>
    <row r="871" spans="1:6" x14ac:dyDescent="0.25">
      <c r="A871" s="1">
        <v>0</v>
      </c>
      <c r="B871" s="1">
        <v>870</v>
      </c>
      <c r="C871">
        <v>205</v>
      </c>
      <c r="D871">
        <v>20800</v>
      </c>
      <c r="E871" t="s">
        <v>324</v>
      </c>
      <c r="F871" t="s">
        <v>327</v>
      </c>
    </row>
    <row r="872" spans="1:6" x14ac:dyDescent="0.25">
      <c r="A872" s="1">
        <v>0</v>
      </c>
      <c r="B872" s="1">
        <v>871</v>
      </c>
      <c r="C872">
        <v>206</v>
      </c>
      <c r="D872">
        <v>53500</v>
      </c>
      <c r="E872" t="s">
        <v>324</v>
      </c>
      <c r="F872" t="s">
        <v>327</v>
      </c>
    </row>
    <row r="873" spans="1:6" x14ac:dyDescent="0.25">
      <c r="A873" s="1">
        <v>0</v>
      </c>
      <c r="B873" s="1">
        <v>872</v>
      </c>
      <c r="C873">
        <v>207</v>
      </c>
      <c r="D873">
        <v>25000</v>
      </c>
      <c r="E873" t="s">
        <v>324</v>
      </c>
      <c r="F873" t="s">
        <v>327</v>
      </c>
    </row>
    <row r="874" spans="1:6" x14ac:dyDescent="0.25">
      <c r="A874" s="1">
        <v>0</v>
      </c>
      <c r="B874" s="1">
        <v>873</v>
      </c>
      <c r="C874">
        <v>1</v>
      </c>
      <c r="D874">
        <v>16000</v>
      </c>
      <c r="E874" t="s">
        <v>328</v>
      </c>
      <c r="F874" t="s">
        <v>329</v>
      </c>
    </row>
    <row r="875" spans="1:6" x14ac:dyDescent="0.25">
      <c r="A875" s="1">
        <v>0</v>
      </c>
      <c r="B875" s="1">
        <v>874</v>
      </c>
      <c r="C875">
        <v>2</v>
      </c>
      <c r="D875">
        <v>7400</v>
      </c>
      <c r="E875" t="s">
        <v>328</v>
      </c>
      <c r="F875" t="s">
        <v>329</v>
      </c>
    </row>
    <row r="876" spans="1:6" x14ac:dyDescent="0.25">
      <c r="A876" s="1">
        <v>0</v>
      </c>
      <c r="B876" s="1">
        <v>875</v>
      </c>
      <c r="C876">
        <v>3</v>
      </c>
      <c r="D876">
        <v>62499</v>
      </c>
      <c r="E876" t="s">
        <v>328</v>
      </c>
      <c r="F876" t="s">
        <v>329</v>
      </c>
    </row>
    <row r="877" spans="1:6" x14ac:dyDescent="0.25">
      <c r="A877" s="1">
        <v>0</v>
      </c>
      <c r="B877" s="1">
        <v>876</v>
      </c>
      <c r="C877">
        <v>9</v>
      </c>
      <c r="D877">
        <v>5499</v>
      </c>
      <c r="E877" t="s">
        <v>328</v>
      </c>
      <c r="F877" t="s">
        <v>329</v>
      </c>
    </row>
    <row r="878" spans="1:6" x14ac:dyDescent="0.25">
      <c r="A878" s="1">
        <v>0</v>
      </c>
      <c r="B878" s="1">
        <v>877</v>
      </c>
      <c r="C878">
        <v>10</v>
      </c>
      <c r="D878">
        <v>609999</v>
      </c>
      <c r="E878" t="s">
        <v>328</v>
      </c>
      <c r="F878" t="s">
        <v>329</v>
      </c>
    </row>
    <row r="879" spans="1:6" x14ac:dyDescent="0.25">
      <c r="A879" s="1">
        <v>0</v>
      </c>
      <c r="B879" s="1">
        <v>878</v>
      </c>
      <c r="C879">
        <v>11</v>
      </c>
      <c r="D879">
        <v>807692</v>
      </c>
      <c r="E879" t="s">
        <v>328</v>
      </c>
      <c r="F879" t="s">
        <v>329</v>
      </c>
    </row>
    <row r="880" spans="1:6" x14ac:dyDescent="0.25">
      <c r="A880" s="1">
        <v>0</v>
      </c>
      <c r="B880" s="1">
        <v>879</v>
      </c>
      <c r="C880">
        <v>12</v>
      </c>
      <c r="D880">
        <v>9999</v>
      </c>
      <c r="E880" t="s">
        <v>328</v>
      </c>
      <c r="F880" t="s">
        <v>329</v>
      </c>
    </row>
    <row r="881" spans="1:6" x14ac:dyDescent="0.25">
      <c r="A881" s="1">
        <v>0</v>
      </c>
      <c r="B881" s="1">
        <v>880</v>
      </c>
      <c r="C881">
        <v>13</v>
      </c>
      <c r="D881">
        <v>175499</v>
      </c>
      <c r="E881" t="s">
        <v>328</v>
      </c>
      <c r="F881" t="s">
        <v>329</v>
      </c>
    </row>
    <row r="882" spans="1:6" x14ac:dyDescent="0.25">
      <c r="A882" s="1">
        <v>0</v>
      </c>
      <c r="B882" s="1">
        <v>881</v>
      </c>
      <c r="C882">
        <v>14</v>
      </c>
      <c r="D882">
        <v>750000</v>
      </c>
      <c r="E882" t="s">
        <v>328</v>
      </c>
      <c r="F882" t="s">
        <v>329</v>
      </c>
    </row>
    <row r="883" spans="1:6" x14ac:dyDescent="0.25">
      <c r="A883" s="1">
        <v>0</v>
      </c>
      <c r="B883" s="1">
        <v>882</v>
      </c>
      <c r="C883">
        <v>15</v>
      </c>
      <c r="D883">
        <v>5300</v>
      </c>
      <c r="E883" t="s">
        <v>328</v>
      </c>
      <c r="F883" t="s">
        <v>329</v>
      </c>
    </row>
    <row r="884" spans="1:6" x14ac:dyDescent="0.25">
      <c r="A884" s="1">
        <v>0</v>
      </c>
      <c r="B884" s="1">
        <v>883</v>
      </c>
      <c r="C884">
        <v>16</v>
      </c>
      <c r="D884">
        <v>248000</v>
      </c>
      <c r="E884" t="s">
        <v>328</v>
      </c>
      <c r="F884" t="s">
        <v>329</v>
      </c>
    </row>
    <row r="885" spans="1:6" x14ac:dyDescent="0.25">
      <c r="A885" s="1">
        <v>0</v>
      </c>
      <c r="B885" s="1">
        <v>884</v>
      </c>
      <c r="C885">
        <v>17</v>
      </c>
      <c r="D885">
        <v>872625</v>
      </c>
      <c r="E885" t="s">
        <v>328</v>
      </c>
      <c r="F885" t="s">
        <v>329</v>
      </c>
    </row>
    <row r="886" spans="1:6" x14ac:dyDescent="0.25">
      <c r="A886" s="1">
        <v>0</v>
      </c>
      <c r="B886" s="1">
        <v>885</v>
      </c>
      <c r="C886">
        <v>18</v>
      </c>
      <c r="D886">
        <v>4800</v>
      </c>
      <c r="E886" t="s">
        <v>328</v>
      </c>
      <c r="F886" t="s">
        <v>329</v>
      </c>
    </row>
    <row r="887" spans="1:6" x14ac:dyDescent="0.25">
      <c r="A887" s="1">
        <v>0</v>
      </c>
      <c r="B887" s="1">
        <v>886</v>
      </c>
      <c r="C887">
        <v>19</v>
      </c>
      <c r="D887">
        <v>209999</v>
      </c>
      <c r="E887" t="s">
        <v>328</v>
      </c>
      <c r="F887" t="s">
        <v>329</v>
      </c>
    </row>
    <row r="888" spans="1:6" x14ac:dyDescent="0.25">
      <c r="A888" s="1">
        <v>0</v>
      </c>
      <c r="B888" s="1">
        <v>887</v>
      </c>
      <c r="C888">
        <v>20</v>
      </c>
      <c r="D888">
        <v>750000</v>
      </c>
      <c r="E888" t="s">
        <v>328</v>
      </c>
      <c r="F888" t="s">
        <v>329</v>
      </c>
    </row>
    <row r="889" spans="1:6" x14ac:dyDescent="0.25">
      <c r="A889" s="1">
        <v>0</v>
      </c>
      <c r="B889" s="1">
        <v>888</v>
      </c>
      <c r="C889">
        <v>21</v>
      </c>
      <c r="D889">
        <v>7900</v>
      </c>
      <c r="E889" t="s">
        <v>328</v>
      </c>
      <c r="F889" t="s">
        <v>329</v>
      </c>
    </row>
    <row r="890" spans="1:6" x14ac:dyDescent="0.25">
      <c r="A890" s="1">
        <v>0</v>
      </c>
      <c r="B890" s="1">
        <v>889</v>
      </c>
      <c r="C890">
        <v>22</v>
      </c>
      <c r="D890">
        <v>448000</v>
      </c>
      <c r="E890" t="s">
        <v>328</v>
      </c>
      <c r="F890" t="s">
        <v>329</v>
      </c>
    </row>
    <row r="891" spans="1:6" x14ac:dyDescent="0.25">
      <c r="A891" s="1">
        <v>0</v>
      </c>
      <c r="B891" s="1">
        <v>890</v>
      </c>
      <c r="C891">
        <v>23</v>
      </c>
      <c r="D891">
        <v>828000</v>
      </c>
      <c r="E891" t="s">
        <v>328</v>
      </c>
      <c r="F891" t="s">
        <v>329</v>
      </c>
    </row>
    <row r="892" spans="1:6" x14ac:dyDescent="0.25">
      <c r="A892" s="1">
        <v>0</v>
      </c>
      <c r="B892" s="1">
        <v>891</v>
      </c>
      <c r="C892">
        <v>24</v>
      </c>
      <c r="D892">
        <v>9000</v>
      </c>
      <c r="E892" t="s">
        <v>328</v>
      </c>
      <c r="F892" t="s">
        <v>329</v>
      </c>
    </row>
    <row r="893" spans="1:6" x14ac:dyDescent="0.25">
      <c r="A893" s="1">
        <v>0</v>
      </c>
      <c r="B893" s="1">
        <v>892</v>
      </c>
      <c r="C893">
        <v>25</v>
      </c>
      <c r="D893">
        <v>75499</v>
      </c>
      <c r="E893" t="s">
        <v>328</v>
      </c>
      <c r="F893" t="s">
        <v>329</v>
      </c>
    </row>
    <row r="894" spans="1:6" x14ac:dyDescent="0.25">
      <c r="A894" s="1">
        <v>0</v>
      </c>
      <c r="B894" s="1">
        <v>893</v>
      </c>
      <c r="C894">
        <v>26</v>
      </c>
      <c r="D894">
        <v>578999</v>
      </c>
      <c r="E894" t="s">
        <v>328</v>
      </c>
      <c r="F894" t="s">
        <v>329</v>
      </c>
    </row>
    <row r="895" spans="1:6" x14ac:dyDescent="0.25">
      <c r="A895" s="1">
        <v>0</v>
      </c>
      <c r="B895" s="1">
        <v>894</v>
      </c>
      <c r="C895">
        <v>101</v>
      </c>
      <c r="D895">
        <v>20500</v>
      </c>
      <c r="E895" t="s">
        <v>328</v>
      </c>
      <c r="F895" t="s">
        <v>329</v>
      </c>
    </row>
    <row r="896" spans="1:6" x14ac:dyDescent="0.25">
      <c r="A896" s="1">
        <v>0</v>
      </c>
      <c r="B896" s="1">
        <v>895</v>
      </c>
      <c r="C896">
        <v>102</v>
      </c>
      <c r="D896">
        <v>12000</v>
      </c>
      <c r="E896" t="s">
        <v>328</v>
      </c>
      <c r="F896" t="s">
        <v>329</v>
      </c>
    </row>
    <row r="897" spans="1:6" x14ac:dyDescent="0.25">
      <c r="A897" s="1">
        <v>0</v>
      </c>
      <c r="B897" s="1">
        <v>896</v>
      </c>
      <c r="C897">
        <v>103</v>
      </c>
      <c r="D897">
        <v>105000</v>
      </c>
      <c r="E897" t="s">
        <v>328</v>
      </c>
      <c r="F897" t="s">
        <v>329</v>
      </c>
    </row>
    <row r="898" spans="1:6" x14ac:dyDescent="0.25">
      <c r="A898" s="1">
        <v>0</v>
      </c>
      <c r="B898" s="1">
        <v>897</v>
      </c>
      <c r="C898">
        <v>200</v>
      </c>
      <c r="D898">
        <v>22100</v>
      </c>
      <c r="E898" t="s">
        <v>328</v>
      </c>
      <c r="F898" t="s">
        <v>329</v>
      </c>
    </row>
    <row r="899" spans="1:6" x14ac:dyDescent="0.25">
      <c r="A899" s="1">
        <v>0</v>
      </c>
      <c r="B899" s="1">
        <v>898</v>
      </c>
      <c r="C899">
        <v>201</v>
      </c>
      <c r="D899">
        <v>11200</v>
      </c>
      <c r="E899" t="s">
        <v>328</v>
      </c>
      <c r="F899" t="s">
        <v>329</v>
      </c>
    </row>
    <row r="900" spans="1:6" x14ac:dyDescent="0.25">
      <c r="A900" s="1">
        <v>0</v>
      </c>
      <c r="B900" s="1">
        <v>899</v>
      </c>
      <c r="C900">
        <v>202</v>
      </c>
      <c r="D900">
        <v>10000</v>
      </c>
      <c r="E900" t="s">
        <v>328</v>
      </c>
      <c r="F900" t="s">
        <v>329</v>
      </c>
    </row>
    <row r="901" spans="1:6" x14ac:dyDescent="0.25">
      <c r="A901" s="1">
        <v>0</v>
      </c>
      <c r="B901" s="1">
        <v>900</v>
      </c>
      <c r="C901">
        <v>203</v>
      </c>
      <c r="D901">
        <v>10000</v>
      </c>
      <c r="E901" t="s">
        <v>328</v>
      </c>
      <c r="F901" t="s">
        <v>329</v>
      </c>
    </row>
    <row r="902" spans="1:6" x14ac:dyDescent="0.25">
      <c r="A902" s="1">
        <v>0</v>
      </c>
      <c r="B902" s="1">
        <v>901</v>
      </c>
      <c r="C902">
        <v>204</v>
      </c>
      <c r="D902">
        <v>29000</v>
      </c>
      <c r="E902" t="s">
        <v>328</v>
      </c>
      <c r="F902" t="s">
        <v>329</v>
      </c>
    </row>
    <row r="903" spans="1:6" x14ac:dyDescent="0.25">
      <c r="A903" s="1">
        <v>0</v>
      </c>
      <c r="B903" s="1">
        <v>902</v>
      </c>
      <c r="C903">
        <v>205</v>
      </c>
      <c r="D903">
        <v>20200</v>
      </c>
      <c r="E903" t="s">
        <v>328</v>
      </c>
      <c r="F903" t="s">
        <v>329</v>
      </c>
    </row>
    <row r="904" spans="1:6" x14ac:dyDescent="0.25">
      <c r="A904" s="1">
        <v>0</v>
      </c>
      <c r="B904" s="1">
        <v>903</v>
      </c>
      <c r="C904">
        <v>206</v>
      </c>
      <c r="D904">
        <v>50500</v>
      </c>
      <c r="E904" t="s">
        <v>328</v>
      </c>
      <c r="F904" t="s">
        <v>329</v>
      </c>
    </row>
    <row r="905" spans="1:6" x14ac:dyDescent="0.25">
      <c r="A905" s="1">
        <v>0</v>
      </c>
      <c r="B905" s="1">
        <v>904</v>
      </c>
      <c r="C905">
        <v>207</v>
      </c>
      <c r="D905">
        <v>25000</v>
      </c>
      <c r="E905" t="s">
        <v>328</v>
      </c>
      <c r="F905" t="s">
        <v>329</v>
      </c>
    </row>
    <row r="906" spans="1:6" x14ac:dyDescent="0.25">
      <c r="A906" s="1">
        <v>0</v>
      </c>
      <c r="B906" s="1">
        <v>905</v>
      </c>
      <c r="C906">
        <v>1</v>
      </c>
      <c r="D906">
        <v>15200</v>
      </c>
      <c r="E906" t="s">
        <v>328</v>
      </c>
      <c r="F906" t="s">
        <v>330</v>
      </c>
    </row>
    <row r="907" spans="1:6" x14ac:dyDescent="0.25">
      <c r="A907" s="1">
        <v>0</v>
      </c>
      <c r="B907" s="1">
        <v>906</v>
      </c>
      <c r="C907">
        <v>2</v>
      </c>
      <c r="D907">
        <v>7200</v>
      </c>
      <c r="E907" t="s">
        <v>328</v>
      </c>
      <c r="F907" t="s">
        <v>330</v>
      </c>
    </row>
    <row r="908" spans="1:6" x14ac:dyDescent="0.25">
      <c r="A908" s="1">
        <v>0</v>
      </c>
      <c r="B908" s="1">
        <v>907</v>
      </c>
      <c r="C908">
        <v>3</v>
      </c>
      <c r="D908">
        <v>48600</v>
      </c>
      <c r="E908" t="s">
        <v>328</v>
      </c>
      <c r="F908" t="s">
        <v>330</v>
      </c>
    </row>
    <row r="909" spans="1:6" x14ac:dyDescent="0.25">
      <c r="A909" s="1">
        <v>0</v>
      </c>
      <c r="B909" s="1">
        <v>908</v>
      </c>
      <c r="C909">
        <v>9</v>
      </c>
      <c r="D909">
        <v>4800</v>
      </c>
      <c r="E909" t="s">
        <v>328</v>
      </c>
      <c r="F909" t="s">
        <v>330</v>
      </c>
    </row>
    <row r="910" spans="1:6" x14ac:dyDescent="0.25">
      <c r="A910" s="1">
        <v>0</v>
      </c>
      <c r="B910" s="1">
        <v>909</v>
      </c>
      <c r="C910">
        <v>10</v>
      </c>
      <c r="D910">
        <v>419000</v>
      </c>
      <c r="E910" t="s">
        <v>328</v>
      </c>
      <c r="F910" t="s">
        <v>330</v>
      </c>
    </row>
    <row r="911" spans="1:6" x14ac:dyDescent="0.25">
      <c r="A911" s="1">
        <v>0</v>
      </c>
      <c r="B911" s="1">
        <v>910</v>
      </c>
      <c r="C911">
        <v>11</v>
      </c>
      <c r="D911">
        <v>807692</v>
      </c>
      <c r="E911" t="s">
        <v>328</v>
      </c>
      <c r="F911" t="s">
        <v>330</v>
      </c>
    </row>
    <row r="912" spans="1:6" x14ac:dyDescent="0.25">
      <c r="A912" s="1">
        <v>0</v>
      </c>
      <c r="B912" s="1">
        <v>911</v>
      </c>
      <c r="C912">
        <v>12</v>
      </c>
      <c r="D912">
        <v>12000</v>
      </c>
      <c r="E912" t="s">
        <v>328</v>
      </c>
      <c r="F912" t="s">
        <v>330</v>
      </c>
    </row>
    <row r="913" spans="1:6" x14ac:dyDescent="0.25">
      <c r="A913" s="1">
        <v>0</v>
      </c>
      <c r="B913" s="1">
        <v>912</v>
      </c>
      <c r="C913">
        <v>13</v>
      </c>
      <c r="D913">
        <v>149500</v>
      </c>
      <c r="E913" t="s">
        <v>328</v>
      </c>
      <c r="F913" t="s">
        <v>330</v>
      </c>
    </row>
    <row r="914" spans="1:6" x14ac:dyDescent="0.25">
      <c r="A914" s="1">
        <v>0</v>
      </c>
      <c r="B914" s="1">
        <v>913</v>
      </c>
      <c r="C914">
        <v>14</v>
      </c>
      <c r="D914">
        <v>750000</v>
      </c>
      <c r="E914" t="s">
        <v>328</v>
      </c>
      <c r="F914" t="s">
        <v>330</v>
      </c>
    </row>
    <row r="915" spans="1:6" x14ac:dyDescent="0.25">
      <c r="A915" s="1">
        <v>0</v>
      </c>
      <c r="B915" s="1">
        <v>914</v>
      </c>
      <c r="C915">
        <v>15</v>
      </c>
      <c r="D915">
        <v>4400</v>
      </c>
      <c r="E915" t="s">
        <v>328</v>
      </c>
      <c r="F915" t="s">
        <v>330</v>
      </c>
    </row>
    <row r="916" spans="1:6" x14ac:dyDescent="0.25">
      <c r="A916" s="1">
        <v>0</v>
      </c>
      <c r="B916" s="1">
        <v>915</v>
      </c>
      <c r="C916">
        <v>16</v>
      </c>
      <c r="D916">
        <v>150000</v>
      </c>
      <c r="E916" t="s">
        <v>328</v>
      </c>
      <c r="F916" t="s">
        <v>330</v>
      </c>
    </row>
    <row r="917" spans="1:6" x14ac:dyDescent="0.25">
      <c r="A917" s="1">
        <v>0</v>
      </c>
      <c r="B917" s="1">
        <v>916</v>
      </c>
      <c r="C917">
        <v>17</v>
      </c>
      <c r="D917">
        <v>872625</v>
      </c>
      <c r="E917" t="s">
        <v>328</v>
      </c>
      <c r="F917" t="s">
        <v>330</v>
      </c>
    </row>
    <row r="918" spans="1:6" x14ac:dyDescent="0.25">
      <c r="A918" s="1">
        <v>0</v>
      </c>
      <c r="B918" s="1">
        <v>917</v>
      </c>
      <c r="C918">
        <v>18</v>
      </c>
      <c r="D918">
        <v>5100</v>
      </c>
      <c r="E918" t="s">
        <v>328</v>
      </c>
      <c r="F918" t="s">
        <v>330</v>
      </c>
    </row>
    <row r="919" spans="1:6" x14ac:dyDescent="0.25">
      <c r="A919" s="1">
        <v>0</v>
      </c>
      <c r="B919" s="1">
        <v>918</v>
      </c>
      <c r="C919">
        <v>19</v>
      </c>
      <c r="D919">
        <v>174500</v>
      </c>
      <c r="E919" t="s">
        <v>328</v>
      </c>
      <c r="F919" t="s">
        <v>330</v>
      </c>
    </row>
    <row r="920" spans="1:6" x14ac:dyDescent="0.25">
      <c r="A920" s="1">
        <v>0</v>
      </c>
      <c r="B920" s="1">
        <v>919</v>
      </c>
      <c r="C920">
        <v>20</v>
      </c>
      <c r="D920">
        <v>750000</v>
      </c>
      <c r="E920" t="s">
        <v>328</v>
      </c>
      <c r="F920" t="s">
        <v>330</v>
      </c>
    </row>
    <row r="921" spans="1:6" x14ac:dyDescent="0.25">
      <c r="A921" s="1">
        <v>0</v>
      </c>
      <c r="B921" s="1">
        <v>920</v>
      </c>
      <c r="C921">
        <v>21</v>
      </c>
      <c r="D921">
        <v>5200</v>
      </c>
      <c r="E921" t="s">
        <v>328</v>
      </c>
      <c r="F921" t="s">
        <v>330</v>
      </c>
    </row>
    <row r="922" spans="1:6" x14ac:dyDescent="0.25">
      <c r="A922" s="1">
        <v>0</v>
      </c>
      <c r="B922" s="1">
        <v>921</v>
      </c>
      <c r="C922">
        <v>22</v>
      </c>
      <c r="D922">
        <v>390000</v>
      </c>
      <c r="E922" t="s">
        <v>328</v>
      </c>
      <c r="F922" t="s">
        <v>330</v>
      </c>
    </row>
    <row r="923" spans="1:6" x14ac:dyDescent="0.25">
      <c r="A923" s="1">
        <v>0</v>
      </c>
      <c r="B923" s="1">
        <v>922</v>
      </c>
      <c r="C923">
        <v>23</v>
      </c>
      <c r="D923">
        <v>828000</v>
      </c>
      <c r="E923" t="s">
        <v>328</v>
      </c>
      <c r="F923" t="s">
        <v>330</v>
      </c>
    </row>
    <row r="924" spans="1:6" x14ac:dyDescent="0.25">
      <c r="A924" s="1">
        <v>0</v>
      </c>
      <c r="B924" s="1">
        <v>923</v>
      </c>
      <c r="C924">
        <v>24</v>
      </c>
      <c r="D924">
        <v>14000</v>
      </c>
      <c r="E924" t="s">
        <v>328</v>
      </c>
      <c r="F924" t="s">
        <v>330</v>
      </c>
    </row>
    <row r="925" spans="1:6" x14ac:dyDescent="0.25">
      <c r="A925" s="1">
        <v>0</v>
      </c>
      <c r="B925" s="1">
        <v>924</v>
      </c>
      <c r="C925">
        <v>25</v>
      </c>
      <c r="D925">
        <v>73000</v>
      </c>
      <c r="E925" t="s">
        <v>328</v>
      </c>
      <c r="F925" t="s">
        <v>330</v>
      </c>
    </row>
    <row r="926" spans="1:6" x14ac:dyDescent="0.25">
      <c r="A926" s="1">
        <v>0</v>
      </c>
      <c r="B926" s="1">
        <v>925</v>
      </c>
      <c r="C926">
        <v>26</v>
      </c>
      <c r="D926">
        <v>578999</v>
      </c>
      <c r="E926" t="s">
        <v>328</v>
      </c>
      <c r="F926" t="s">
        <v>330</v>
      </c>
    </row>
    <row r="927" spans="1:6" x14ac:dyDescent="0.25">
      <c r="A927" s="1">
        <v>0</v>
      </c>
      <c r="B927" s="1">
        <v>926</v>
      </c>
      <c r="C927">
        <v>101</v>
      </c>
      <c r="D927">
        <v>22400</v>
      </c>
      <c r="E927" t="s">
        <v>328</v>
      </c>
      <c r="F927" t="s">
        <v>330</v>
      </c>
    </row>
    <row r="928" spans="1:6" x14ac:dyDescent="0.25">
      <c r="A928" s="1">
        <v>0</v>
      </c>
      <c r="B928" s="1">
        <v>927</v>
      </c>
      <c r="C928">
        <v>102</v>
      </c>
      <c r="D928">
        <v>13000</v>
      </c>
      <c r="E928" t="s">
        <v>328</v>
      </c>
      <c r="F928" t="s">
        <v>330</v>
      </c>
    </row>
    <row r="929" spans="1:6" x14ac:dyDescent="0.25">
      <c r="A929" s="1">
        <v>0</v>
      </c>
      <c r="B929" s="1">
        <v>928</v>
      </c>
      <c r="C929">
        <v>103</v>
      </c>
      <c r="D929">
        <v>104000</v>
      </c>
      <c r="E929" t="s">
        <v>328</v>
      </c>
      <c r="F929" t="s">
        <v>330</v>
      </c>
    </row>
    <row r="930" spans="1:6" x14ac:dyDescent="0.25">
      <c r="A930" s="1">
        <v>0</v>
      </c>
      <c r="B930" s="1">
        <v>929</v>
      </c>
      <c r="C930">
        <v>200</v>
      </c>
      <c r="D930">
        <v>25000</v>
      </c>
      <c r="E930" t="s">
        <v>328</v>
      </c>
      <c r="F930" t="s">
        <v>330</v>
      </c>
    </row>
    <row r="931" spans="1:6" x14ac:dyDescent="0.25">
      <c r="A931" s="1">
        <v>0</v>
      </c>
      <c r="B931" s="1">
        <v>930</v>
      </c>
      <c r="C931">
        <v>201</v>
      </c>
      <c r="D931">
        <v>9800</v>
      </c>
      <c r="E931" t="s">
        <v>328</v>
      </c>
      <c r="F931" t="s">
        <v>330</v>
      </c>
    </row>
    <row r="932" spans="1:6" x14ac:dyDescent="0.25">
      <c r="A932" s="1">
        <v>0</v>
      </c>
      <c r="B932" s="1">
        <v>931</v>
      </c>
      <c r="C932">
        <v>202</v>
      </c>
      <c r="D932">
        <v>10000</v>
      </c>
      <c r="E932" t="s">
        <v>328</v>
      </c>
      <c r="F932" t="s">
        <v>330</v>
      </c>
    </row>
    <row r="933" spans="1:6" x14ac:dyDescent="0.25">
      <c r="A933" s="1">
        <v>0</v>
      </c>
      <c r="B933" s="1">
        <v>932</v>
      </c>
      <c r="C933">
        <v>203</v>
      </c>
      <c r="D933">
        <v>10000</v>
      </c>
      <c r="E933" t="s">
        <v>328</v>
      </c>
      <c r="F933" t="s">
        <v>330</v>
      </c>
    </row>
    <row r="934" spans="1:6" x14ac:dyDescent="0.25">
      <c r="A934" s="1">
        <v>0</v>
      </c>
      <c r="B934" s="1">
        <v>933</v>
      </c>
      <c r="C934">
        <v>204</v>
      </c>
      <c r="D934">
        <v>22500</v>
      </c>
      <c r="E934" t="s">
        <v>328</v>
      </c>
      <c r="F934" t="s">
        <v>330</v>
      </c>
    </row>
    <row r="935" spans="1:6" x14ac:dyDescent="0.25">
      <c r="A935" s="1">
        <v>0</v>
      </c>
      <c r="B935" s="1">
        <v>934</v>
      </c>
      <c r="C935">
        <v>205</v>
      </c>
      <c r="D935">
        <v>17200</v>
      </c>
      <c r="E935" t="s">
        <v>328</v>
      </c>
      <c r="F935" t="s">
        <v>330</v>
      </c>
    </row>
    <row r="936" spans="1:6" x14ac:dyDescent="0.25">
      <c r="A936" s="1">
        <v>0</v>
      </c>
      <c r="B936" s="1">
        <v>935</v>
      </c>
      <c r="C936">
        <v>206</v>
      </c>
      <c r="D936">
        <v>47500</v>
      </c>
      <c r="E936" t="s">
        <v>328</v>
      </c>
      <c r="F936" t="s">
        <v>330</v>
      </c>
    </row>
    <row r="937" spans="1:6" x14ac:dyDescent="0.25">
      <c r="A937" s="1">
        <v>0</v>
      </c>
      <c r="B937" s="1">
        <v>936</v>
      </c>
      <c r="C937">
        <v>207</v>
      </c>
      <c r="D937">
        <v>23500</v>
      </c>
      <c r="E937" t="s">
        <v>328</v>
      </c>
      <c r="F937" t="s">
        <v>330</v>
      </c>
    </row>
    <row r="938" spans="1:6" x14ac:dyDescent="0.25">
      <c r="A938" s="1">
        <v>0</v>
      </c>
      <c r="B938" s="1">
        <v>937</v>
      </c>
      <c r="C938">
        <v>1</v>
      </c>
      <c r="D938">
        <v>17800</v>
      </c>
      <c r="E938" t="s">
        <v>331</v>
      </c>
      <c r="F938" t="s">
        <v>332</v>
      </c>
    </row>
    <row r="939" spans="1:6" x14ac:dyDescent="0.25">
      <c r="A939" s="1">
        <v>0</v>
      </c>
      <c r="B939" s="1">
        <v>938</v>
      </c>
      <c r="C939">
        <v>2</v>
      </c>
      <c r="D939">
        <v>9700</v>
      </c>
      <c r="E939" t="s">
        <v>331</v>
      </c>
      <c r="F939" t="s">
        <v>332</v>
      </c>
    </row>
    <row r="940" spans="1:6" x14ac:dyDescent="0.25">
      <c r="A940" s="1">
        <v>0</v>
      </c>
      <c r="B940" s="1">
        <v>939</v>
      </c>
      <c r="C940">
        <v>3</v>
      </c>
      <c r="D940">
        <v>99900</v>
      </c>
      <c r="E940" t="s">
        <v>331</v>
      </c>
      <c r="F940" t="s">
        <v>332</v>
      </c>
    </row>
    <row r="941" spans="1:6" x14ac:dyDescent="0.25">
      <c r="A941" s="1">
        <v>0</v>
      </c>
      <c r="B941" s="1">
        <v>940</v>
      </c>
      <c r="C941">
        <v>9</v>
      </c>
      <c r="D941">
        <v>11300</v>
      </c>
      <c r="E941" t="s">
        <v>331</v>
      </c>
      <c r="F941" t="s">
        <v>332</v>
      </c>
    </row>
    <row r="942" spans="1:6" x14ac:dyDescent="0.25">
      <c r="A942" s="1">
        <v>0</v>
      </c>
      <c r="B942" s="1">
        <v>941</v>
      </c>
      <c r="C942">
        <v>10</v>
      </c>
      <c r="D942">
        <v>445000</v>
      </c>
      <c r="E942" t="s">
        <v>331</v>
      </c>
      <c r="F942" t="s">
        <v>332</v>
      </c>
    </row>
    <row r="943" spans="1:6" x14ac:dyDescent="0.25">
      <c r="A943" s="1">
        <v>0</v>
      </c>
      <c r="B943" s="1">
        <v>942</v>
      </c>
      <c r="C943">
        <v>11</v>
      </c>
      <c r="D943">
        <v>807692</v>
      </c>
      <c r="E943" t="s">
        <v>331</v>
      </c>
      <c r="F943" t="s">
        <v>332</v>
      </c>
    </row>
    <row r="944" spans="1:6" x14ac:dyDescent="0.25">
      <c r="A944" s="1">
        <v>0</v>
      </c>
      <c r="B944" s="1">
        <v>943</v>
      </c>
      <c r="C944">
        <v>12</v>
      </c>
      <c r="D944">
        <v>17500</v>
      </c>
      <c r="E944" t="s">
        <v>331</v>
      </c>
      <c r="F944" t="s">
        <v>332</v>
      </c>
    </row>
    <row r="945" spans="1:6" x14ac:dyDescent="0.25">
      <c r="A945" s="1">
        <v>0</v>
      </c>
      <c r="B945" s="1">
        <v>944</v>
      </c>
      <c r="C945">
        <v>13</v>
      </c>
      <c r="D945">
        <v>249000</v>
      </c>
      <c r="E945" t="s">
        <v>331</v>
      </c>
      <c r="F945" t="s">
        <v>332</v>
      </c>
    </row>
    <row r="946" spans="1:6" x14ac:dyDescent="0.25">
      <c r="A946" s="1">
        <v>0</v>
      </c>
      <c r="B946" s="1">
        <v>945</v>
      </c>
      <c r="C946">
        <v>14</v>
      </c>
      <c r="D946">
        <v>750000</v>
      </c>
      <c r="E946" t="s">
        <v>331</v>
      </c>
      <c r="F946" t="s">
        <v>332</v>
      </c>
    </row>
    <row r="947" spans="1:6" x14ac:dyDescent="0.25">
      <c r="A947" s="1">
        <v>0</v>
      </c>
      <c r="B947" s="1">
        <v>946</v>
      </c>
      <c r="C947">
        <v>15</v>
      </c>
      <c r="D947">
        <v>4399</v>
      </c>
      <c r="E947" t="s">
        <v>331</v>
      </c>
      <c r="F947" t="s">
        <v>332</v>
      </c>
    </row>
    <row r="948" spans="1:6" x14ac:dyDescent="0.25">
      <c r="A948" s="1">
        <v>0</v>
      </c>
      <c r="B948" s="1">
        <v>947</v>
      </c>
      <c r="C948">
        <v>16</v>
      </c>
      <c r="D948">
        <v>650000</v>
      </c>
      <c r="E948" t="s">
        <v>331</v>
      </c>
      <c r="F948" t="s">
        <v>332</v>
      </c>
    </row>
    <row r="949" spans="1:6" x14ac:dyDescent="0.25">
      <c r="A949" s="1">
        <v>0</v>
      </c>
      <c r="B949" s="1">
        <v>948</v>
      </c>
      <c r="C949">
        <v>17</v>
      </c>
      <c r="D949">
        <v>872625</v>
      </c>
      <c r="E949" t="s">
        <v>331</v>
      </c>
      <c r="F949" t="s">
        <v>332</v>
      </c>
    </row>
    <row r="950" spans="1:6" x14ac:dyDescent="0.25">
      <c r="A950" s="1">
        <v>0</v>
      </c>
      <c r="B950" s="1">
        <v>949</v>
      </c>
      <c r="C950">
        <v>18</v>
      </c>
      <c r="D950">
        <v>9999</v>
      </c>
      <c r="E950" t="s">
        <v>331</v>
      </c>
      <c r="F950" t="s">
        <v>332</v>
      </c>
    </row>
    <row r="951" spans="1:6" x14ac:dyDescent="0.25">
      <c r="A951" s="1">
        <v>0</v>
      </c>
      <c r="B951" s="1">
        <v>950</v>
      </c>
      <c r="C951">
        <v>19</v>
      </c>
      <c r="D951">
        <v>500000</v>
      </c>
      <c r="E951" t="s">
        <v>331</v>
      </c>
      <c r="F951" t="s">
        <v>332</v>
      </c>
    </row>
    <row r="952" spans="1:6" x14ac:dyDescent="0.25">
      <c r="A952" s="1">
        <v>0</v>
      </c>
      <c r="B952" s="1">
        <v>951</v>
      </c>
      <c r="C952">
        <v>20</v>
      </c>
      <c r="D952">
        <v>750000</v>
      </c>
      <c r="E952" t="s">
        <v>331</v>
      </c>
      <c r="F952" t="s">
        <v>332</v>
      </c>
    </row>
    <row r="953" spans="1:6" x14ac:dyDescent="0.25">
      <c r="A953" s="1">
        <v>0</v>
      </c>
      <c r="B953" s="1">
        <v>952</v>
      </c>
      <c r="C953">
        <v>21</v>
      </c>
      <c r="D953">
        <v>7999</v>
      </c>
      <c r="E953" t="s">
        <v>331</v>
      </c>
      <c r="F953" t="s">
        <v>332</v>
      </c>
    </row>
    <row r="954" spans="1:6" x14ac:dyDescent="0.25">
      <c r="A954" s="1">
        <v>0</v>
      </c>
      <c r="B954" s="1">
        <v>953</v>
      </c>
      <c r="C954">
        <v>22</v>
      </c>
      <c r="D954">
        <v>399900</v>
      </c>
      <c r="E954" t="s">
        <v>331</v>
      </c>
      <c r="F954" t="s">
        <v>332</v>
      </c>
    </row>
    <row r="955" spans="1:6" x14ac:dyDescent="0.25">
      <c r="A955" s="1">
        <v>0</v>
      </c>
      <c r="B955" s="1">
        <v>954</v>
      </c>
      <c r="C955">
        <v>23</v>
      </c>
      <c r="D955">
        <v>828000</v>
      </c>
      <c r="E955" t="s">
        <v>331</v>
      </c>
      <c r="F955" t="s">
        <v>332</v>
      </c>
    </row>
    <row r="956" spans="1:6" x14ac:dyDescent="0.25">
      <c r="A956" s="1">
        <v>0</v>
      </c>
      <c r="B956" s="1">
        <v>955</v>
      </c>
      <c r="C956">
        <v>24</v>
      </c>
      <c r="D956">
        <v>14000</v>
      </c>
      <c r="E956" t="s">
        <v>331</v>
      </c>
      <c r="F956" t="s">
        <v>332</v>
      </c>
    </row>
    <row r="957" spans="1:6" x14ac:dyDescent="0.25">
      <c r="A957" s="1">
        <v>0</v>
      </c>
      <c r="B957" s="1">
        <v>956</v>
      </c>
      <c r="C957">
        <v>25</v>
      </c>
      <c r="D957">
        <v>348000</v>
      </c>
      <c r="E957" t="s">
        <v>331</v>
      </c>
      <c r="F957" t="s">
        <v>332</v>
      </c>
    </row>
    <row r="958" spans="1:6" x14ac:dyDescent="0.25">
      <c r="A958" s="1">
        <v>0</v>
      </c>
      <c r="B958" s="1">
        <v>957</v>
      </c>
      <c r="C958">
        <v>26</v>
      </c>
      <c r="D958">
        <v>578999</v>
      </c>
      <c r="E958" t="s">
        <v>331</v>
      </c>
      <c r="F958" t="s">
        <v>332</v>
      </c>
    </row>
    <row r="959" spans="1:6" x14ac:dyDescent="0.25">
      <c r="A959" s="1">
        <v>0</v>
      </c>
      <c r="B959" s="1">
        <v>958</v>
      </c>
      <c r="C959">
        <v>101</v>
      </c>
      <c r="D959">
        <v>24800</v>
      </c>
      <c r="E959" t="s">
        <v>331</v>
      </c>
      <c r="F959" t="s">
        <v>332</v>
      </c>
    </row>
    <row r="960" spans="1:6" x14ac:dyDescent="0.25">
      <c r="A960" s="1">
        <v>0</v>
      </c>
      <c r="B960" s="1">
        <v>959</v>
      </c>
      <c r="C960">
        <v>102</v>
      </c>
      <c r="D960">
        <v>15000</v>
      </c>
      <c r="E960" t="s">
        <v>331</v>
      </c>
      <c r="F960" t="s">
        <v>332</v>
      </c>
    </row>
    <row r="961" spans="1:6" x14ac:dyDescent="0.25">
      <c r="A961" s="1">
        <v>0</v>
      </c>
      <c r="B961" s="1">
        <v>960</v>
      </c>
      <c r="C961">
        <v>103</v>
      </c>
      <c r="D961">
        <v>100150</v>
      </c>
      <c r="E961" t="s">
        <v>331</v>
      </c>
      <c r="F961" t="s">
        <v>332</v>
      </c>
    </row>
    <row r="962" spans="1:6" x14ac:dyDescent="0.25">
      <c r="A962" s="1">
        <v>0</v>
      </c>
      <c r="B962" s="1">
        <v>961</v>
      </c>
      <c r="C962">
        <v>200</v>
      </c>
      <c r="D962">
        <v>20600</v>
      </c>
      <c r="E962" t="s">
        <v>331</v>
      </c>
      <c r="F962" t="s">
        <v>332</v>
      </c>
    </row>
    <row r="963" spans="1:6" x14ac:dyDescent="0.25">
      <c r="A963" s="1">
        <v>0</v>
      </c>
      <c r="B963" s="1">
        <v>962</v>
      </c>
      <c r="C963">
        <v>201</v>
      </c>
      <c r="D963">
        <v>8300</v>
      </c>
      <c r="E963" t="s">
        <v>331</v>
      </c>
      <c r="F963" t="s">
        <v>332</v>
      </c>
    </row>
    <row r="964" spans="1:6" x14ac:dyDescent="0.25">
      <c r="A964" s="1">
        <v>0</v>
      </c>
      <c r="B964" s="1">
        <v>963</v>
      </c>
      <c r="C964">
        <v>202</v>
      </c>
      <c r="D964">
        <v>9600</v>
      </c>
      <c r="E964" t="s">
        <v>331</v>
      </c>
      <c r="F964" t="s">
        <v>332</v>
      </c>
    </row>
    <row r="965" spans="1:6" x14ac:dyDescent="0.25">
      <c r="A965" s="1">
        <v>0</v>
      </c>
      <c r="B965" s="1">
        <v>964</v>
      </c>
      <c r="C965">
        <v>203</v>
      </c>
      <c r="D965">
        <v>17200</v>
      </c>
      <c r="E965" t="s">
        <v>331</v>
      </c>
      <c r="F965" t="s">
        <v>332</v>
      </c>
    </row>
    <row r="966" spans="1:6" x14ac:dyDescent="0.25">
      <c r="A966" s="1">
        <v>0</v>
      </c>
      <c r="B966" s="1">
        <v>965</v>
      </c>
      <c r="C966">
        <v>204</v>
      </c>
      <c r="D966">
        <v>23599</v>
      </c>
      <c r="E966" t="s">
        <v>331</v>
      </c>
      <c r="F966" t="s">
        <v>332</v>
      </c>
    </row>
    <row r="967" spans="1:6" x14ac:dyDescent="0.25">
      <c r="A967" s="1">
        <v>0</v>
      </c>
      <c r="B967" s="1">
        <v>966</v>
      </c>
      <c r="C967">
        <v>205</v>
      </c>
      <c r="D967">
        <v>19200</v>
      </c>
      <c r="E967" t="s">
        <v>331</v>
      </c>
      <c r="F967" t="s">
        <v>332</v>
      </c>
    </row>
    <row r="968" spans="1:6" x14ac:dyDescent="0.25">
      <c r="A968" s="1">
        <v>0</v>
      </c>
      <c r="B968" s="1">
        <v>967</v>
      </c>
      <c r="C968">
        <v>206</v>
      </c>
      <c r="D968">
        <v>42000</v>
      </c>
      <c r="E968" t="s">
        <v>331</v>
      </c>
      <c r="F968" t="s">
        <v>332</v>
      </c>
    </row>
    <row r="969" spans="1:6" x14ac:dyDescent="0.25">
      <c r="A969" s="1">
        <v>0</v>
      </c>
      <c r="B969" s="1">
        <v>968</v>
      </c>
      <c r="C969">
        <v>207</v>
      </c>
      <c r="D969">
        <v>22500</v>
      </c>
      <c r="E969" t="s">
        <v>331</v>
      </c>
      <c r="F969" t="s">
        <v>332</v>
      </c>
    </row>
    <row r="970" spans="1:6" x14ac:dyDescent="0.25">
      <c r="A970" s="1">
        <v>0</v>
      </c>
      <c r="B970" s="1">
        <v>969</v>
      </c>
      <c r="C970">
        <v>1</v>
      </c>
      <c r="D970">
        <v>11600</v>
      </c>
      <c r="E970" t="s">
        <v>331</v>
      </c>
      <c r="F970" t="s">
        <v>333</v>
      </c>
    </row>
    <row r="971" spans="1:6" x14ac:dyDescent="0.25">
      <c r="A971" s="1">
        <v>0</v>
      </c>
      <c r="B971" s="1">
        <v>970</v>
      </c>
      <c r="C971">
        <v>2</v>
      </c>
      <c r="D971">
        <v>8700</v>
      </c>
      <c r="E971" t="s">
        <v>331</v>
      </c>
      <c r="F971" t="s">
        <v>333</v>
      </c>
    </row>
    <row r="972" spans="1:6" x14ac:dyDescent="0.25">
      <c r="A972" s="1">
        <v>0</v>
      </c>
      <c r="B972" s="1">
        <v>971</v>
      </c>
      <c r="C972">
        <v>3</v>
      </c>
      <c r="D972">
        <v>99000</v>
      </c>
      <c r="E972" t="s">
        <v>331</v>
      </c>
      <c r="F972" t="s">
        <v>333</v>
      </c>
    </row>
    <row r="973" spans="1:6" x14ac:dyDescent="0.25">
      <c r="A973" s="1">
        <v>0</v>
      </c>
      <c r="B973" s="1">
        <v>972</v>
      </c>
      <c r="C973">
        <v>9</v>
      </c>
      <c r="D973">
        <v>12500</v>
      </c>
      <c r="E973" t="s">
        <v>331</v>
      </c>
      <c r="F973" t="s">
        <v>333</v>
      </c>
    </row>
    <row r="974" spans="1:6" x14ac:dyDescent="0.25">
      <c r="A974" s="1">
        <v>0</v>
      </c>
      <c r="B974" s="1">
        <v>973</v>
      </c>
      <c r="C974">
        <v>10</v>
      </c>
      <c r="D974">
        <v>559000</v>
      </c>
      <c r="E974" t="s">
        <v>331</v>
      </c>
      <c r="F974" t="s">
        <v>333</v>
      </c>
    </row>
    <row r="975" spans="1:6" x14ac:dyDescent="0.25">
      <c r="A975" s="1">
        <v>0</v>
      </c>
      <c r="B975" s="1">
        <v>974</v>
      </c>
      <c r="C975">
        <v>11</v>
      </c>
      <c r="D975">
        <v>807692</v>
      </c>
      <c r="E975" t="s">
        <v>331</v>
      </c>
      <c r="F975" t="s">
        <v>333</v>
      </c>
    </row>
    <row r="976" spans="1:6" x14ac:dyDescent="0.25">
      <c r="A976" s="1">
        <v>0</v>
      </c>
      <c r="B976" s="1">
        <v>975</v>
      </c>
      <c r="C976">
        <v>12</v>
      </c>
      <c r="D976">
        <v>17500</v>
      </c>
      <c r="E976" t="s">
        <v>331</v>
      </c>
      <c r="F976" t="s">
        <v>333</v>
      </c>
    </row>
    <row r="977" spans="1:6" x14ac:dyDescent="0.25">
      <c r="A977" s="1">
        <v>0</v>
      </c>
      <c r="B977" s="1">
        <v>976</v>
      </c>
      <c r="C977">
        <v>13</v>
      </c>
      <c r="D977">
        <v>237000</v>
      </c>
      <c r="E977" t="s">
        <v>331</v>
      </c>
      <c r="F977" t="s">
        <v>333</v>
      </c>
    </row>
    <row r="978" spans="1:6" x14ac:dyDescent="0.25">
      <c r="A978" s="1">
        <v>0</v>
      </c>
      <c r="B978" s="1">
        <v>977</v>
      </c>
      <c r="C978">
        <v>14</v>
      </c>
      <c r="D978">
        <v>750000</v>
      </c>
      <c r="E978" t="s">
        <v>331</v>
      </c>
      <c r="F978" t="s">
        <v>333</v>
      </c>
    </row>
    <row r="979" spans="1:6" x14ac:dyDescent="0.25">
      <c r="A979" s="1">
        <v>0</v>
      </c>
      <c r="B979" s="1">
        <v>978</v>
      </c>
      <c r="C979">
        <v>15</v>
      </c>
      <c r="D979">
        <v>10600</v>
      </c>
      <c r="E979" t="s">
        <v>331</v>
      </c>
      <c r="F979" t="s">
        <v>333</v>
      </c>
    </row>
    <row r="980" spans="1:6" x14ac:dyDescent="0.25">
      <c r="A980" s="1">
        <v>0</v>
      </c>
      <c r="B980" s="1">
        <v>979</v>
      </c>
      <c r="C980">
        <v>16</v>
      </c>
      <c r="D980">
        <v>607000</v>
      </c>
      <c r="E980" t="s">
        <v>331</v>
      </c>
      <c r="F980" t="s">
        <v>333</v>
      </c>
    </row>
    <row r="981" spans="1:6" x14ac:dyDescent="0.25">
      <c r="A981" s="1">
        <v>0</v>
      </c>
      <c r="B981" s="1">
        <v>980</v>
      </c>
      <c r="C981">
        <v>17</v>
      </c>
      <c r="D981">
        <v>872625</v>
      </c>
      <c r="E981" t="s">
        <v>331</v>
      </c>
      <c r="F981" t="s">
        <v>333</v>
      </c>
    </row>
    <row r="982" spans="1:6" x14ac:dyDescent="0.25">
      <c r="A982" s="1">
        <v>0</v>
      </c>
      <c r="B982" s="1">
        <v>981</v>
      </c>
      <c r="C982">
        <v>18</v>
      </c>
      <c r="D982">
        <v>10000</v>
      </c>
      <c r="E982" t="s">
        <v>331</v>
      </c>
      <c r="F982" t="s">
        <v>333</v>
      </c>
    </row>
    <row r="983" spans="1:6" x14ac:dyDescent="0.25">
      <c r="A983" s="1">
        <v>0</v>
      </c>
      <c r="B983" s="1">
        <v>982</v>
      </c>
      <c r="C983">
        <v>19</v>
      </c>
      <c r="D983">
        <v>332000</v>
      </c>
      <c r="E983" t="s">
        <v>331</v>
      </c>
      <c r="F983" t="s">
        <v>333</v>
      </c>
    </row>
    <row r="984" spans="1:6" x14ac:dyDescent="0.25">
      <c r="A984" s="1">
        <v>0</v>
      </c>
      <c r="B984" s="1">
        <v>983</v>
      </c>
      <c r="C984">
        <v>20</v>
      </c>
      <c r="D984">
        <v>750000</v>
      </c>
      <c r="E984" t="s">
        <v>331</v>
      </c>
      <c r="F984" t="s">
        <v>333</v>
      </c>
    </row>
    <row r="985" spans="1:6" x14ac:dyDescent="0.25">
      <c r="A985" s="1">
        <v>0</v>
      </c>
      <c r="B985" s="1">
        <v>984</v>
      </c>
      <c r="C985">
        <v>21</v>
      </c>
      <c r="D985">
        <v>10700</v>
      </c>
      <c r="E985" t="s">
        <v>331</v>
      </c>
      <c r="F985" t="s">
        <v>333</v>
      </c>
    </row>
    <row r="986" spans="1:6" x14ac:dyDescent="0.25">
      <c r="A986" s="1">
        <v>0</v>
      </c>
      <c r="B986" s="1">
        <v>985</v>
      </c>
      <c r="C986">
        <v>22</v>
      </c>
      <c r="D986">
        <v>288000</v>
      </c>
      <c r="E986" t="s">
        <v>331</v>
      </c>
      <c r="F986" t="s">
        <v>333</v>
      </c>
    </row>
    <row r="987" spans="1:6" x14ac:dyDescent="0.25">
      <c r="A987" s="1">
        <v>0</v>
      </c>
      <c r="B987" s="1">
        <v>986</v>
      </c>
      <c r="C987">
        <v>23</v>
      </c>
      <c r="D987">
        <v>828000</v>
      </c>
      <c r="E987" t="s">
        <v>331</v>
      </c>
      <c r="F987" t="s">
        <v>333</v>
      </c>
    </row>
    <row r="988" spans="1:6" x14ac:dyDescent="0.25">
      <c r="A988" s="1">
        <v>0</v>
      </c>
      <c r="B988" s="1">
        <v>987</v>
      </c>
      <c r="C988">
        <v>24</v>
      </c>
      <c r="D988">
        <v>14000</v>
      </c>
      <c r="E988" t="s">
        <v>331</v>
      </c>
      <c r="F988" t="s">
        <v>333</v>
      </c>
    </row>
    <row r="989" spans="1:6" x14ac:dyDescent="0.25">
      <c r="A989" s="1">
        <v>0</v>
      </c>
      <c r="B989" s="1">
        <v>988</v>
      </c>
      <c r="C989">
        <v>25</v>
      </c>
      <c r="D989">
        <v>336000</v>
      </c>
      <c r="E989" t="s">
        <v>331</v>
      </c>
      <c r="F989" t="s">
        <v>333</v>
      </c>
    </row>
    <row r="990" spans="1:6" x14ac:dyDescent="0.25">
      <c r="A990" s="1">
        <v>0</v>
      </c>
      <c r="B990" s="1">
        <v>989</v>
      </c>
      <c r="C990">
        <v>26</v>
      </c>
      <c r="D990">
        <v>578999</v>
      </c>
      <c r="E990" t="s">
        <v>331</v>
      </c>
      <c r="F990" t="s">
        <v>333</v>
      </c>
    </row>
    <row r="991" spans="1:6" x14ac:dyDescent="0.25">
      <c r="A991" s="1">
        <v>0</v>
      </c>
      <c r="B991" s="1">
        <v>990</v>
      </c>
      <c r="C991">
        <v>101</v>
      </c>
      <c r="D991">
        <v>24800</v>
      </c>
      <c r="E991" t="s">
        <v>331</v>
      </c>
      <c r="F991" t="s">
        <v>333</v>
      </c>
    </row>
    <row r="992" spans="1:6" x14ac:dyDescent="0.25">
      <c r="A992" s="1">
        <v>0</v>
      </c>
      <c r="B992" s="1">
        <v>991</v>
      </c>
      <c r="C992">
        <v>102</v>
      </c>
      <c r="D992">
        <v>15000</v>
      </c>
      <c r="E992" t="s">
        <v>331</v>
      </c>
      <c r="F992" t="s">
        <v>333</v>
      </c>
    </row>
    <row r="993" spans="1:6" x14ac:dyDescent="0.25">
      <c r="A993" s="1">
        <v>0</v>
      </c>
      <c r="B993" s="1">
        <v>992</v>
      </c>
      <c r="C993">
        <v>103</v>
      </c>
      <c r="D993">
        <v>100150</v>
      </c>
      <c r="E993" t="s">
        <v>331</v>
      </c>
      <c r="F993" t="s">
        <v>333</v>
      </c>
    </row>
    <row r="994" spans="1:6" x14ac:dyDescent="0.25">
      <c r="A994" s="1">
        <v>0</v>
      </c>
      <c r="B994" s="1">
        <v>993</v>
      </c>
      <c r="C994">
        <v>200</v>
      </c>
      <c r="D994">
        <v>18000</v>
      </c>
      <c r="E994" t="s">
        <v>331</v>
      </c>
      <c r="F994" t="s">
        <v>333</v>
      </c>
    </row>
    <row r="995" spans="1:6" x14ac:dyDescent="0.25">
      <c r="A995" s="1">
        <v>0</v>
      </c>
      <c r="B995" s="1">
        <v>994</v>
      </c>
      <c r="C995">
        <v>201</v>
      </c>
      <c r="D995">
        <v>7700</v>
      </c>
      <c r="E995" t="s">
        <v>331</v>
      </c>
      <c r="F995" t="s">
        <v>333</v>
      </c>
    </row>
    <row r="996" spans="1:6" x14ac:dyDescent="0.25">
      <c r="A996" s="1">
        <v>0</v>
      </c>
      <c r="B996" s="1">
        <v>995</v>
      </c>
      <c r="C996">
        <v>202</v>
      </c>
      <c r="D996">
        <v>9000</v>
      </c>
      <c r="E996" t="s">
        <v>331</v>
      </c>
      <c r="F996" t="s">
        <v>333</v>
      </c>
    </row>
    <row r="997" spans="1:6" x14ac:dyDescent="0.25">
      <c r="A997" s="1">
        <v>0</v>
      </c>
      <c r="B997" s="1">
        <v>996</v>
      </c>
      <c r="C997">
        <v>203</v>
      </c>
      <c r="D997">
        <v>17400</v>
      </c>
      <c r="E997" t="s">
        <v>331</v>
      </c>
      <c r="F997" t="s">
        <v>333</v>
      </c>
    </row>
    <row r="998" spans="1:6" x14ac:dyDescent="0.25">
      <c r="A998" s="1">
        <v>0</v>
      </c>
      <c r="B998" s="1">
        <v>997</v>
      </c>
      <c r="C998">
        <v>204</v>
      </c>
      <c r="D998">
        <v>22000</v>
      </c>
      <c r="E998" t="s">
        <v>331</v>
      </c>
      <c r="F998" t="s">
        <v>333</v>
      </c>
    </row>
    <row r="999" spans="1:6" x14ac:dyDescent="0.25">
      <c r="A999" s="1">
        <v>0</v>
      </c>
      <c r="B999" s="1">
        <v>998</v>
      </c>
      <c r="C999">
        <v>205</v>
      </c>
      <c r="D999">
        <v>13800</v>
      </c>
      <c r="E999" t="s">
        <v>331</v>
      </c>
      <c r="F999" t="s">
        <v>333</v>
      </c>
    </row>
    <row r="1000" spans="1:6" x14ac:dyDescent="0.25">
      <c r="A1000" s="1">
        <v>0</v>
      </c>
      <c r="B1000" s="1">
        <v>999</v>
      </c>
      <c r="C1000">
        <v>206</v>
      </c>
      <c r="D1000">
        <v>41600</v>
      </c>
      <c r="E1000" t="s">
        <v>331</v>
      </c>
      <c r="F1000" t="s">
        <v>333</v>
      </c>
    </row>
    <row r="1001" spans="1:6" x14ac:dyDescent="0.25">
      <c r="A1001" s="1">
        <v>0</v>
      </c>
      <c r="B1001" s="1">
        <v>1000</v>
      </c>
      <c r="C1001">
        <v>207</v>
      </c>
      <c r="D1001">
        <v>52499</v>
      </c>
      <c r="E1001" t="s">
        <v>331</v>
      </c>
      <c r="F1001" t="s">
        <v>333</v>
      </c>
    </row>
    <row r="1002" spans="1:6" x14ac:dyDescent="0.25">
      <c r="A1002" s="1">
        <v>0</v>
      </c>
      <c r="B1002" s="1">
        <v>1001</v>
      </c>
      <c r="C1002">
        <v>1</v>
      </c>
      <c r="D1002">
        <v>15800</v>
      </c>
      <c r="E1002" t="s">
        <v>334</v>
      </c>
      <c r="F1002" t="s">
        <v>335</v>
      </c>
    </row>
    <row r="1003" spans="1:6" x14ac:dyDescent="0.25">
      <c r="A1003" s="1">
        <v>0</v>
      </c>
      <c r="B1003" s="1">
        <v>1002</v>
      </c>
      <c r="C1003">
        <v>2</v>
      </c>
      <c r="D1003">
        <v>10000</v>
      </c>
      <c r="E1003" t="s">
        <v>334</v>
      </c>
      <c r="F1003" t="s">
        <v>335</v>
      </c>
    </row>
    <row r="1004" spans="1:6" x14ac:dyDescent="0.25">
      <c r="A1004" s="1">
        <v>0</v>
      </c>
      <c r="B1004" s="1">
        <v>1003</v>
      </c>
      <c r="C1004">
        <v>3</v>
      </c>
      <c r="D1004">
        <v>49800</v>
      </c>
      <c r="E1004" t="s">
        <v>334</v>
      </c>
      <c r="F1004" t="s">
        <v>335</v>
      </c>
    </row>
    <row r="1005" spans="1:6" x14ac:dyDescent="0.25">
      <c r="A1005" s="1">
        <v>0</v>
      </c>
      <c r="B1005" s="1">
        <v>1004</v>
      </c>
      <c r="C1005">
        <v>9</v>
      </c>
      <c r="D1005">
        <v>10000</v>
      </c>
      <c r="E1005" t="s">
        <v>334</v>
      </c>
      <c r="F1005" t="s">
        <v>335</v>
      </c>
    </row>
    <row r="1006" spans="1:6" x14ac:dyDescent="0.25">
      <c r="A1006" s="1">
        <v>0</v>
      </c>
      <c r="B1006" s="1">
        <v>1005</v>
      </c>
      <c r="C1006">
        <v>10</v>
      </c>
      <c r="D1006">
        <v>609999</v>
      </c>
      <c r="E1006" t="s">
        <v>334</v>
      </c>
      <c r="F1006" t="s">
        <v>335</v>
      </c>
    </row>
    <row r="1007" spans="1:6" x14ac:dyDescent="0.25">
      <c r="A1007" s="1">
        <v>0</v>
      </c>
      <c r="B1007" s="1">
        <v>1006</v>
      </c>
      <c r="C1007">
        <v>11</v>
      </c>
      <c r="D1007">
        <v>807692</v>
      </c>
      <c r="E1007" t="s">
        <v>334</v>
      </c>
      <c r="F1007" t="s">
        <v>335</v>
      </c>
    </row>
    <row r="1008" spans="1:6" x14ac:dyDescent="0.25">
      <c r="A1008" s="1">
        <v>0</v>
      </c>
      <c r="B1008" s="1">
        <v>1007</v>
      </c>
      <c r="C1008">
        <v>12</v>
      </c>
      <c r="D1008">
        <v>16000</v>
      </c>
      <c r="E1008" t="s">
        <v>334</v>
      </c>
      <c r="F1008" t="s">
        <v>335</v>
      </c>
    </row>
    <row r="1009" spans="1:6" x14ac:dyDescent="0.25">
      <c r="A1009" s="1">
        <v>0</v>
      </c>
      <c r="B1009" s="1">
        <v>1008</v>
      </c>
      <c r="C1009">
        <v>13</v>
      </c>
      <c r="D1009">
        <v>237000</v>
      </c>
      <c r="E1009" t="s">
        <v>334</v>
      </c>
      <c r="F1009" t="s">
        <v>335</v>
      </c>
    </row>
    <row r="1010" spans="1:6" x14ac:dyDescent="0.25">
      <c r="A1010" s="1">
        <v>0</v>
      </c>
      <c r="B1010" s="1">
        <v>1009</v>
      </c>
      <c r="C1010">
        <v>14</v>
      </c>
      <c r="D1010">
        <v>750000</v>
      </c>
      <c r="E1010" t="s">
        <v>334</v>
      </c>
      <c r="F1010" t="s">
        <v>335</v>
      </c>
    </row>
    <row r="1011" spans="1:6" x14ac:dyDescent="0.25">
      <c r="A1011" s="1">
        <v>0</v>
      </c>
      <c r="B1011" s="1">
        <v>1010</v>
      </c>
      <c r="C1011">
        <v>15</v>
      </c>
      <c r="D1011">
        <v>10000</v>
      </c>
      <c r="E1011" t="s">
        <v>334</v>
      </c>
      <c r="F1011" t="s">
        <v>335</v>
      </c>
    </row>
    <row r="1012" spans="1:6" x14ac:dyDescent="0.25">
      <c r="A1012" s="1">
        <v>0</v>
      </c>
      <c r="B1012" s="1">
        <v>1011</v>
      </c>
      <c r="C1012">
        <v>16</v>
      </c>
      <c r="D1012">
        <v>605000</v>
      </c>
      <c r="E1012" t="s">
        <v>334</v>
      </c>
      <c r="F1012" t="s">
        <v>335</v>
      </c>
    </row>
    <row r="1013" spans="1:6" x14ac:dyDescent="0.25">
      <c r="A1013" s="1">
        <v>0</v>
      </c>
      <c r="B1013" s="1">
        <v>1012</v>
      </c>
      <c r="C1013">
        <v>17</v>
      </c>
      <c r="D1013">
        <v>872625</v>
      </c>
      <c r="E1013" t="s">
        <v>334</v>
      </c>
      <c r="F1013" t="s">
        <v>335</v>
      </c>
    </row>
    <row r="1014" spans="1:6" x14ac:dyDescent="0.25">
      <c r="A1014" s="1">
        <v>0</v>
      </c>
      <c r="B1014" s="1">
        <v>1013</v>
      </c>
      <c r="C1014">
        <v>18</v>
      </c>
      <c r="D1014">
        <v>9500</v>
      </c>
      <c r="E1014" t="s">
        <v>334</v>
      </c>
      <c r="F1014" t="s">
        <v>335</v>
      </c>
    </row>
    <row r="1015" spans="1:6" x14ac:dyDescent="0.25">
      <c r="A1015" s="1">
        <v>0</v>
      </c>
      <c r="B1015" s="1">
        <v>1014</v>
      </c>
      <c r="C1015">
        <v>19</v>
      </c>
      <c r="D1015">
        <v>419000</v>
      </c>
      <c r="E1015" t="s">
        <v>334</v>
      </c>
      <c r="F1015" t="s">
        <v>335</v>
      </c>
    </row>
    <row r="1016" spans="1:6" x14ac:dyDescent="0.25">
      <c r="A1016" s="1">
        <v>0</v>
      </c>
      <c r="B1016" s="1">
        <v>1015</v>
      </c>
      <c r="C1016">
        <v>20</v>
      </c>
      <c r="D1016">
        <v>750000</v>
      </c>
      <c r="E1016" t="s">
        <v>334</v>
      </c>
      <c r="F1016" t="s">
        <v>335</v>
      </c>
    </row>
    <row r="1017" spans="1:6" x14ac:dyDescent="0.25">
      <c r="A1017" s="1">
        <v>0</v>
      </c>
      <c r="B1017" s="1">
        <v>1016</v>
      </c>
      <c r="C1017">
        <v>21</v>
      </c>
      <c r="D1017">
        <v>8400</v>
      </c>
      <c r="E1017" t="s">
        <v>334</v>
      </c>
      <c r="F1017" t="s">
        <v>335</v>
      </c>
    </row>
    <row r="1018" spans="1:6" x14ac:dyDescent="0.25">
      <c r="A1018" s="1">
        <v>0</v>
      </c>
      <c r="B1018" s="1">
        <v>1017</v>
      </c>
      <c r="C1018">
        <v>22</v>
      </c>
      <c r="D1018">
        <v>446000</v>
      </c>
      <c r="E1018" t="s">
        <v>334</v>
      </c>
      <c r="F1018" t="s">
        <v>335</v>
      </c>
    </row>
    <row r="1019" spans="1:6" x14ac:dyDescent="0.25">
      <c r="A1019" s="1">
        <v>0</v>
      </c>
      <c r="B1019" s="1">
        <v>1018</v>
      </c>
      <c r="C1019">
        <v>23</v>
      </c>
      <c r="D1019">
        <v>828000</v>
      </c>
      <c r="E1019" t="s">
        <v>334</v>
      </c>
      <c r="F1019" t="s">
        <v>335</v>
      </c>
    </row>
    <row r="1020" spans="1:6" x14ac:dyDescent="0.25">
      <c r="A1020" s="1">
        <v>0</v>
      </c>
      <c r="B1020" s="1">
        <v>1019</v>
      </c>
      <c r="C1020">
        <v>24</v>
      </c>
      <c r="D1020">
        <v>13800</v>
      </c>
      <c r="E1020" t="s">
        <v>334</v>
      </c>
      <c r="F1020" t="s">
        <v>335</v>
      </c>
    </row>
    <row r="1021" spans="1:6" x14ac:dyDescent="0.25">
      <c r="A1021" s="1">
        <v>0</v>
      </c>
      <c r="B1021" s="1">
        <v>1020</v>
      </c>
      <c r="C1021">
        <v>25</v>
      </c>
      <c r="D1021">
        <v>300000</v>
      </c>
      <c r="E1021" t="s">
        <v>334</v>
      </c>
      <c r="F1021" t="s">
        <v>335</v>
      </c>
    </row>
    <row r="1022" spans="1:6" x14ac:dyDescent="0.25">
      <c r="A1022" s="1">
        <v>0</v>
      </c>
      <c r="B1022" s="1">
        <v>1021</v>
      </c>
      <c r="C1022">
        <v>26</v>
      </c>
      <c r="D1022">
        <v>578999</v>
      </c>
      <c r="E1022" t="s">
        <v>334</v>
      </c>
      <c r="F1022" t="s">
        <v>335</v>
      </c>
    </row>
    <row r="1023" spans="1:6" x14ac:dyDescent="0.25">
      <c r="A1023" s="1">
        <v>0</v>
      </c>
      <c r="B1023" s="1">
        <v>1022</v>
      </c>
      <c r="C1023">
        <v>101</v>
      </c>
      <c r="D1023">
        <v>24800</v>
      </c>
      <c r="E1023" t="s">
        <v>334</v>
      </c>
      <c r="F1023" t="s">
        <v>335</v>
      </c>
    </row>
    <row r="1024" spans="1:6" x14ac:dyDescent="0.25">
      <c r="A1024" s="1">
        <v>0</v>
      </c>
      <c r="B1024" s="1">
        <v>1023</v>
      </c>
      <c r="C1024">
        <v>102</v>
      </c>
      <c r="D1024">
        <v>14800</v>
      </c>
      <c r="E1024" t="s">
        <v>334</v>
      </c>
      <c r="F1024" t="s">
        <v>335</v>
      </c>
    </row>
    <row r="1025" spans="1:6" x14ac:dyDescent="0.25">
      <c r="A1025" s="1">
        <v>0</v>
      </c>
      <c r="B1025" s="1">
        <v>1024</v>
      </c>
      <c r="C1025">
        <v>103</v>
      </c>
      <c r="D1025">
        <v>200000</v>
      </c>
      <c r="E1025" t="s">
        <v>334</v>
      </c>
      <c r="F1025" t="s">
        <v>335</v>
      </c>
    </row>
    <row r="1026" spans="1:6" x14ac:dyDescent="0.25">
      <c r="A1026" s="1">
        <v>0</v>
      </c>
      <c r="B1026" s="1">
        <v>1025</v>
      </c>
      <c r="C1026">
        <v>200</v>
      </c>
      <c r="D1026">
        <v>17600</v>
      </c>
      <c r="E1026" t="s">
        <v>334</v>
      </c>
      <c r="F1026" t="s">
        <v>335</v>
      </c>
    </row>
    <row r="1027" spans="1:6" x14ac:dyDescent="0.25">
      <c r="A1027" s="1">
        <v>0</v>
      </c>
      <c r="B1027" s="1">
        <v>1026</v>
      </c>
      <c r="C1027">
        <v>201</v>
      </c>
      <c r="D1027">
        <v>7400</v>
      </c>
      <c r="E1027" t="s">
        <v>334</v>
      </c>
      <c r="F1027" t="s">
        <v>335</v>
      </c>
    </row>
    <row r="1028" spans="1:6" x14ac:dyDescent="0.25">
      <c r="A1028" s="1">
        <v>0</v>
      </c>
      <c r="B1028" s="1">
        <v>1027</v>
      </c>
      <c r="C1028">
        <v>202</v>
      </c>
      <c r="D1028">
        <v>9000</v>
      </c>
      <c r="E1028" t="s">
        <v>334</v>
      </c>
      <c r="F1028" t="s">
        <v>335</v>
      </c>
    </row>
    <row r="1029" spans="1:6" x14ac:dyDescent="0.25">
      <c r="A1029" s="1">
        <v>0</v>
      </c>
      <c r="B1029" s="1">
        <v>1028</v>
      </c>
      <c r="C1029">
        <v>203</v>
      </c>
      <c r="D1029">
        <v>17400</v>
      </c>
      <c r="E1029" t="s">
        <v>334</v>
      </c>
      <c r="F1029" t="s">
        <v>335</v>
      </c>
    </row>
    <row r="1030" spans="1:6" x14ac:dyDescent="0.25">
      <c r="A1030" s="1">
        <v>0</v>
      </c>
      <c r="B1030" s="1">
        <v>1029</v>
      </c>
      <c r="C1030">
        <v>204</v>
      </c>
      <c r="D1030">
        <v>22000</v>
      </c>
      <c r="E1030" t="s">
        <v>334</v>
      </c>
      <c r="F1030" t="s">
        <v>335</v>
      </c>
    </row>
    <row r="1031" spans="1:6" x14ac:dyDescent="0.25">
      <c r="A1031" s="1">
        <v>0</v>
      </c>
      <c r="B1031" s="1">
        <v>1030</v>
      </c>
      <c r="C1031">
        <v>205</v>
      </c>
      <c r="D1031">
        <v>13500</v>
      </c>
      <c r="E1031" t="s">
        <v>334</v>
      </c>
      <c r="F1031" t="s">
        <v>335</v>
      </c>
    </row>
    <row r="1032" spans="1:6" x14ac:dyDescent="0.25">
      <c r="A1032" s="1">
        <v>0</v>
      </c>
      <c r="B1032" s="1">
        <v>1031</v>
      </c>
      <c r="C1032">
        <v>206</v>
      </c>
      <c r="D1032">
        <v>40000</v>
      </c>
      <c r="E1032" t="s">
        <v>334</v>
      </c>
      <c r="F1032" t="s">
        <v>335</v>
      </c>
    </row>
    <row r="1033" spans="1:6" x14ac:dyDescent="0.25">
      <c r="A1033" s="1">
        <v>0</v>
      </c>
      <c r="B1033" s="1">
        <v>1032</v>
      </c>
      <c r="C1033">
        <v>207</v>
      </c>
      <c r="D1033">
        <v>49800</v>
      </c>
      <c r="E1033" t="s">
        <v>334</v>
      </c>
      <c r="F1033" t="s">
        <v>335</v>
      </c>
    </row>
    <row r="1034" spans="1:6" x14ac:dyDescent="0.25">
      <c r="A1034" s="1">
        <v>0</v>
      </c>
      <c r="B1034" s="1">
        <v>1033</v>
      </c>
      <c r="C1034">
        <v>1</v>
      </c>
      <c r="D1034">
        <v>15800</v>
      </c>
      <c r="E1034" t="s">
        <v>334</v>
      </c>
      <c r="F1034" t="s">
        <v>336</v>
      </c>
    </row>
    <row r="1035" spans="1:6" x14ac:dyDescent="0.25">
      <c r="A1035" s="1">
        <v>0</v>
      </c>
      <c r="B1035" s="1">
        <v>1034</v>
      </c>
      <c r="C1035">
        <v>2</v>
      </c>
      <c r="D1035">
        <v>10000</v>
      </c>
      <c r="E1035" t="s">
        <v>334</v>
      </c>
      <c r="F1035" t="s">
        <v>336</v>
      </c>
    </row>
    <row r="1036" spans="1:6" x14ac:dyDescent="0.25">
      <c r="A1036" s="1">
        <v>0</v>
      </c>
      <c r="B1036" s="1">
        <v>1035</v>
      </c>
      <c r="C1036">
        <v>3</v>
      </c>
      <c r="D1036">
        <v>50000</v>
      </c>
      <c r="E1036" t="s">
        <v>334</v>
      </c>
      <c r="F1036" t="s">
        <v>336</v>
      </c>
    </row>
    <row r="1037" spans="1:6" x14ac:dyDescent="0.25">
      <c r="A1037" s="1">
        <v>0</v>
      </c>
      <c r="B1037" s="1">
        <v>1036</v>
      </c>
      <c r="C1037">
        <v>9</v>
      </c>
      <c r="D1037">
        <v>9500</v>
      </c>
      <c r="E1037" t="s">
        <v>334</v>
      </c>
      <c r="F1037" t="s">
        <v>336</v>
      </c>
    </row>
    <row r="1038" spans="1:6" x14ac:dyDescent="0.25">
      <c r="A1038" s="1">
        <v>0</v>
      </c>
      <c r="B1038" s="1">
        <v>1037</v>
      </c>
      <c r="C1038">
        <v>10</v>
      </c>
      <c r="D1038">
        <v>700000</v>
      </c>
      <c r="E1038" t="s">
        <v>334</v>
      </c>
      <c r="F1038" t="s">
        <v>336</v>
      </c>
    </row>
    <row r="1039" spans="1:6" x14ac:dyDescent="0.25">
      <c r="A1039" s="1">
        <v>0</v>
      </c>
      <c r="B1039" s="1">
        <v>1038</v>
      </c>
      <c r="C1039">
        <v>11</v>
      </c>
      <c r="D1039">
        <v>807692</v>
      </c>
      <c r="E1039" t="s">
        <v>334</v>
      </c>
      <c r="F1039" t="s">
        <v>336</v>
      </c>
    </row>
    <row r="1040" spans="1:6" x14ac:dyDescent="0.25">
      <c r="A1040" s="1">
        <v>0</v>
      </c>
      <c r="B1040" s="1">
        <v>1039</v>
      </c>
      <c r="C1040">
        <v>12</v>
      </c>
      <c r="D1040">
        <v>29600</v>
      </c>
      <c r="E1040" t="s">
        <v>334</v>
      </c>
      <c r="F1040" t="s">
        <v>336</v>
      </c>
    </row>
    <row r="1041" spans="1:6" x14ac:dyDescent="0.25">
      <c r="A1041" s="1">
        <v>0</v>
      </c>
      <c r="B1041" s="1">
        <v>1040</v>
      </c>
      <c r="C1041">
        <v>13</v>
      </c>
      <c r="D1041">
        <v>239949</v>
      </c>
      <c r="E1041" t="s">
        <v>334</v>
      </c>
      <c r="F1041" t="s">
        <v>336</v>
      </c>
    </row>
    <row r="1042" spans="1:6" x14ac:dyDescent="0.25">
      <c r="A1042" s="1">
        <v>0</v>
      </c>
      <c r="B1042" s="1">
        <v>1041</v>
      </c>
      <c r="C1042">
        <v>14</v>
      </c>
      <c r="D1042">
        <v>750000</v>
      </c>
      <c r="E1042" t="s">
        <v>334</v>
      </c>
      <c r="F1042" t="s">
        <v>336</v>
      </c>
    </row>
    <row r="1043" spans="1:6" x14ac:dyDescent="0.25">
      <c r="A1043" s="1">
        <v>0</v>
      </c>
      <c r="B1043" s="1">
        <v>1042</v>
      </c>
      <c r="C1043">
        <v>15</v>
      </c>
      <c r="D1043">
        <v>9400</v>
      </c>
      <c r="E1043" t="s">
        <v>334</v>
      </c>
      <c r="F1043" t="s">
        <v>336</v>
      </c>
    </row>
    <row r="1044" spans="1:6" x14ac:dyDescent="0.25">
      <c r="A1044" s="1">
        <v>0</v>
      </c>
      <c r="B1044" s="1">
        <v>1043</v>
      </c>
      <c r="C1044">
        <v>16</v>
      </c>
      <c r="D1044">
        <v>602999</v>
      </c>
      <c r="E1044" t="s">
        <v>334</v>
      </c>
      <c r="F1044" t="s">
        <v>336</v>
      </c>
    </row>
    <row r="1045" spans="1:6" x14ac:dyDescent="0.25">
      <c r="A1045" s="1">
        <v>0</v>
      </c>
      <c r="B1045" s="1">
        <v>1044</v>
      </c>
      <c r="C1045">
        <v>17</v>
      </c>
      <c r="D1045">
        <v>872625</v>
      </c>
      <c r="E1045" t="s">
        <v>334</v>
      </c>
      <c r="F1045" t="s">
        <v>336</v>
      </c>
    </row>
    <row r="1046" spans="1:6" x14ac:dyDescent="0.25">
      <c r="A1046" s="1">
        <v>0</v>
      </c>
      <c r="B1046" s="1">
        <v>1045</v>
      </c>
      <c r="C1046">
        <v>18</v>
      </c>
      <c r="D1046">
        <v>9500</v>
      </c>
      <c r="E1046" t="s">
        <v>334</v>
      </c>
      <c r="F1046" t="s">
        <v>336</v>
      </c>
    </row>
    <row r="1047" spans="1:6" x14ac:dyDescent="0.25">
      <c r="A1047" s="1">
        <v>0</v>
      </c>
      <c r="B1047" s="1">
        <v>1046</v>
      </c>
      <c r="C1047">
        <v>19</v>
      </c>
      <c r="D1047">
        <v>459999</v>
      </c>
      <c r="E1047" t="s">
        <v>334</v>
      </c>
      <c r="F1047" t="s">
        <v>336</v>
      </c>
    </row>
    <row r="1048" spans="1:6" x14ac:dyDescent="0.25">
      <c r="A1048" s="1">
        <v>0</v>
      </c>
      <c r="B1048" s="1">
        <v>1047</v>
      </c>
      <c r="C1048">
        <v>20</v>
      </c>
      <c r="D1048">
        <v>750000</v>
      </c>
      <c r="E1048" t="s">
        <v>334</v>
      </c>
      <c r="F1048" t="s">
        <v>336</v>
      </c>
    </row>
    <row r="1049" spans="1:6" x14ac:dyDescent="0.25">
      <c r="A1049" s="1">
        <v>0</v>
      </c>
      <c r="B1049" s="1">
        <v>1048</v>
      </c>
      <c r="C1049">
        <v>21</v>
      </c>
      <c r="D1049">
        <v>8400</v>
      </c>
      <c r="E1049" t="s">
        <v>334</v>
      </c>
      <c r="F1049" t="s">
        <v>336</v>
      </c>
    </row>
    <row r="1050" spans="1:6" x14ac:dyDescent="0.25">
      <c r="A1050" s="1">
        <v>0</v>
      </c>
      <c r="B1050" s="1">
        <v>1049</v>
      </c>
      <c r="C1050">
        <v>22</v>
      </c>
      <c r="D1050">
        <v>250000</v>
      </c>
      <c r="E1050" t="s">
        <v>334</v>
      </c>
      <c r="F1050" t="s">
        <v>336</v>
      </c>
    </row>
    <row r="1051" spans="1:6" x14ac:dyDescent="0.25">
      <c r="A1051" s="1">
        <v>0</v>
      </c>
      <c r="B1051" s="1">
        <v>1050</v>
      </c>
      <c r="C1051">
        <v>23</v>
      </c>
      <c r="D1051">
        <v>828000</v>
      </c>
      <c r="E1051" t="s">
        <v>334</v>
      </c>
      <c r="F1051" t="s">
        <v>336</v>
      </c>
    </row>
    <row r="1052" spans="1:6" x14ac:dyDescent="0.25">
      <c r="A1052" s="1">
        <v>0</v>
      </c>
      <c r="B1052" s="1">
        <v>1051</v>
      </c>
      <c r="C1052">
        <v>24</v>
      </c>
      <c r="D1052">
        <v>13800</v>
      </c>
      <c r="E1052" t="s">
        <v>334</v>
      </c>
      <c r="F1052" t="s">
        <v>336</v>
      </c>
    </row>
    <row r="1053" spans="1:6" x14ac:dyDescent="0.25">
      <c r="A1053" s="1">
        <v>0</v>
      </c>
      <c r="B1053" s="1">
        <v>1052</v>
      </c>
      <c r="C1053">
        <v>25</v>
      </c>
      <c r="D1053">
        <v>249999</v>
      </c>
      <c r="E1053" t="s">
        <v>334</v>
      </c>
      <c r="F1053" t="s">
        <v>336</v>
      </c>
    </row>
    <row r="1054" spans="1:6" x14ac:dyDescent="0.25">
      <c r="A1054" s="1">
        <v>0</v>
      </c>
      <c r="B1054" s="1">
        <v>1053</v>
      </c>
      <c r="C1054">
        <v>26</v>
      </c>
      <c r="D1054">
        <v>578999</v>
      </c>
      <c r="E1054" t="s">
        <v>334</v>
      </c>
      <c r="F1054" t="s">
        <v>336</v>
      </c>
    </row>
    <row r="1055" spans="1:6" x14ac:dyDescent="0.25">
      <c r="A1055" s="1">
        <v>0</v>
      </c>
      <c r="B1055" s="1">
        <v>1054</v>
      </c>
      <c r="C1055">
        <v>101</v>
      </c>
      <c r="D1055">
        <v>22800</v>
      </c>
      <c r="E1055" t="s">
        <v>334</v>
      </c>
      <c r="F1055" t="s">
        <v>336</v>
      </c>
    </row>
    <row r="1056" spans="1:6" x14ac:dyDescent="0.25">
      <c r="A1056" s="1">
        <v>0</v>
      </c>
      <c r="B1056" s="1">
        <v>1055</v>
      </c>
      <c r="C1056">
        <v>102</v>
      </c>
      <c r="D1056">
        <v>14999</v>
      </c>
      <c r="E1056" t="s">
        <v>334</v>
      </c>
      <c r="F1056" t="s">
        <v>336</v>
      </c>
    </row>
    <row r="1057" spans="1:6" x14ac:dyDescent="0.25">
      <c r="A1057" s="1">
        <v>0</v>
      </c>
      <c r="B1057" s="1">
        <v>1056</v>
      </c>
      <c r="C1057">
        <v>103</v>
      </c>
      <c r="D1057">
        <v>125000</v>
      </c>
      <c r="E1057" t="s">
        <v>334</v>
      </c>
      <c r="F1057" t="s">
        <v>336</v>
      </c>
    </row>
    <row r="1058" spans="1:6" x14ac:dyDescent="0.25">
      <c r="A1058" s="1">
        <v>0</v>
      </c>
      <c r="B1058" s="1">
        <v>1057</v>
      </c>
      <c r="C1058">
        <v>200</v>
      </c>
      <c r="D1058">
        <v>17500</v>
      </c>
      <c r="E1058" t="s">
        <v>334</v>
      </c>
      <c r="F1058" t="s">
        <v>336</v>
      </c>
    </row>
    <row r="1059" spans="1:6" x14ac:dyDescent="0.25">
      <c r="A1059" s="1">
        <v>0</v>
      </c>
      <c r="B1059" s="1">
        <v>1058</v>
      </c>
      <c r="C1059">
        <v>201</v>
      </c>
      <c r="D1059">
        <v>8000</v>
      </c>
      <c r="E1059" t="s">
        <v>334</v>
      </c>
      <c r="F1059" t="s">
        <v>336</v>
      </c>
    </row>
    <row r="1060" spans="1:6" x14ac:dyDescent="0.25">
      <c r="A1060" s="1">
        <v>0</v>
      </c>
      <c r="B1060" s="1">
        <v>1059</v>
      </c>
      <c r="C1060">
        <v>202</v>
      </c>
      <c r="D1060">
        <v>9000</v>
      </c>
      <c r="E1060" t="s">
        <v>334</v>
      </c>
      <c r="F1060" t="s">
        <v>336</v>
      </c>
    </row>
    <row r="1061" spans="1:6" x14ac:dyDescent="0.25">
      <c r="A1061" s="1">
        <v>0</v>
      </c>
      <c r="B1061" s="1">
        <v>1060</v>
      </c>
      <c r="C1061">
        <v>203</v>
      </c>
      <c r="D1061">
        <v>23392</v>
      </c>
      <c r="E1061" t="s">
        <v>334</v>
      </c>
      <c r="F1061" t="s">
        <v>336</v>
      </c>
    </row>
    <row r="1062" spans="1:6" x14ac:dyDescent="0.25">
      <c r="A1062" s="1">
        <v>0</v>
      </c>
      <c r="B1062" s="1">
        <v>1061</v>
      </c>
      <c r="C1062">
        <v>204</v>
      </c>
      <c r="D1062">
        <v>22200</v>
      </c>
      <c r="E1062" t="s">
        <v>334</v>
      </c>
      <c r="F1062" t="s">
        <v>336</v>
      </c>
    </row>
    <row r="1063" spans="1:6" x14ac:dyDescent="0.25">
      <c r="A1063" s="1">
        <v>0</v>
      </c>
      <c r="B1063" s="1">
        <v>1062</v>
      </c>
      <c r="C1063">
        <v>205</v>
      </c>
      <c r="D1063">
        <v>11600</v>
      </c>
      <c r="E1063" t="s">
        <v>334</v>
      </c>
      <c r="F1063" t="s">
        <v>336</v>
      </c>
    </row>
    <row r="1064" spans="1:6" x14ac:dyDescent="0.25">
      <c r="A1064" s="1">
        <v>0</v>
      </c>
      <c r="B1064" s="1">
        <v>1063</v>
      </c>
      <c r="C1064">
        <v>206</v>
      </c>
      <c r="D1064">
        <v>35000</v>
      </c>
      <c r="E1064" t="s">
        <v>334</v>
      </c>
      <c r="F1064" t="s">
        <v>336</v>
      </c>
    </row>
    <row r="1065" spans="1:6" x14ac:dyDescent="0.25">
      <c r="A1065" s="1">
        <v>0</v>
      </c>
      <c r="B1065" s="1">
        <v>1064</v>
      </c>
      <c r="C1065">
        <v>207</v>
      </c>
      <c r="D1065">
        <v>49200</v>
      </c>
      <c r="E1065" t="s">
        <v>334</v>
      </c>
      <c r="F1065" t="s">
        <v>336</v>
      </c>
    </row>
    <row r="1066" spans="1:6" x14ac:dyDescent="0.25">
      <c r="A1066" s="1">
        <v>0</v>
      </c>
      <c r="B1066" s="1">
        <v>1065</v>
      </c>
      <c r="C1066">
        <v>1</v>
      </c>
      <c r="D1066">
        <v>15000</v>
      </c>
      <c r="E1066" t="s">
        <v>334</v>
      </c>
      <c r="F1066" t="s">
        <v>337</v>
      </c>
    </row>
    <row r="1067" spans="1:6" x14ac:dyDescent="0.25">
      <c r="A1067" s="1">
        <v>0</v>
      </c>
      <c r="B1067" s="1">
        <v>1066</v>
      </c>
      <c r="C1067">
        <v>2</v>
      </c>
      <c r="D1067">
        <v>6900</v>
      </c>
      <c r="E1067" t="s">
        <v>334</v>
      </c>
      <c r="F1067" t="s">
        <v>337</v>
      </c>
    </row>
    <row r="1068" spans="1:6" x14ac:dyDescent="0.25">
      <c r="A1068" s="1">
        <v>0</v>
      </c>
      <c r="B1068" s="1">
        <v>1067</v>
      </c>
      <c r="C1068">
        <v>3</v>
      </c>
      <c r="D1068">
        <v>50000</v>
      </c>
      <c r="E1068" t="s">
        <v>334</v>
      </c>
      <c r="F1068" t="s">
        <v>337</v>
      </c>
    </row>
    <row r="1069" spans="1:6" x14ac:dyDescent="0.25">
      <c r="A1069" s="1">
        <v>0</v>
      </c>
      <c r="B1069" s="1">
        <v>1068</v>
      </c>
      <c r="C1069">
        <v>9</v>
      </c>
      <c r="D1069">
        <v>9400</v>
      </c>
      <c r="E1069" t="s">
        <v>334</v>
      </c>
      <c r="F1069" t="s">
        <v>337</v>
      </c>
    </row>
    <row r="1070" spans="1:6" x14ac:dyDescent="0.25">
      <c r="A1070" s="1">
        <v>0</v>
      </c>
      <c r="B1070" s="1">
        <v>1069</v>
      </c>
      <c r="C1070">
        <v>10</v>
      </c>
      <c r="D1070">
        <v>755500</v>
      </c>
      <c r="E1070" t="s">
        <v>334</v>
      </c>
      <c r="F1070" t="s">
        <v>337</v>
      </c>
    </row>
    <row r="1071" spans="1:6" x14ac:dyDescent="0.25">
      <c r="A1071" s="1">
        <v>0</v>
      </c>
      <c r="B1071" s="1">
        <v>1070</v>
      </c>
      <c r="C1071">
        <v>11</v>
      </c>
      <c r="D1071">
        <v>807692</v>
      </c>
      <c r="E1071" t="s">
        <v>334</v>
      </c>
      <c r="F1071" t="s">
        <v>337</v>
      </c>
    </row>
    <row r="1072" spans="1:6" x14ac:dyDescent="0.25">
      <c r="A1072" s="1">
        <v>0</v>
      </c>
      <c r="B1072" s="1">
        <v>1071</v>
      </c>
      <c r="C1072">
        <v>12</v>
      </c>
      <c r="D1072">
        <v>15700</v>
      </c>
      <c r="E1072" t="s">
        <v>334</v>
      </c>
      <c r="F1072" t="s">
        <v>337</v>
      </c>
    </row>
    <row r="1073" spans="1:6" x14ac:dyDescent="0.25">
      <c r="A1073" s="1">
        <v>0</v>
      </c>
      <c r="B1073" s="1">
        <v>1072</v>
      </c>
      <c r="C1073">
        <v>13</v>
      </c>
      <c r="D1073">
        <v>187100</v>
      </c>
      <c r="E1073" t="s">
        <v>334</v>
      </c>
      <c r="F1073" t="s">
        <v>337</v>
      </c>
    </row>
    <row r="1074" spans="1:6" x14ac:dyDescent="0.25">
      <c r="A1074" s="1">
        <v>0</v>
      </c>
      <c r="B1074" s="1">
        <v>1073</v>
      </c>
      <c r="C1074">
        <v>14</v>
      </c>
      <c r="D1074">
        <v>750000</v>
      </c>
      <c r="E1074" t="s">
        <v>334</v>
      </c>
      <c r="F1074" t="s">
        <v>337</v>
      </c>
    </row>
    <row r="1075" spans="1:6" x14ac:dyDescent="0.25">
      <c r="A1075" s="1">
        <v>0</v>
      </c>
      <c r="B1075" s="1">
        <v>1074</v>
      </c>
      <c r="C1075">
        <v>15</v>
      </c>
      <c r="D1075">
        <v>8855</v>
      </c>
      <c r="E1075" t="s">
        <v>334</v>
      </c>
      <c r="F1075" t="s">
        <v>337</v>
      </c>
    </row>
    <row r="1076" spans="1:6" x14ac:dyDescent="0.25">
      <c r="A1076" s="1">
        <v>0</v>
      </c>
      <c r="B1076" s="1">
        <v>1075</v>
      </c>
      <c r="C1076">
        <v>16</v>
      </c>
      <c r="D1076">
        <v>546000</v>
      </c>
      <c r="E1076" t="s">
        <v>334</v>
      </c>
      <c r="F1076" t="s">
        <v>337</v>
      </c>
    </row>
    <row r="1077" spans="1:6" x14ac:dyDescent="0.25">
      <c r="A1077" s="1">
        <v>0</v>
      </c>
      <c r="B1077" s="1">
        <v>1076</v>
      </c>
      <c r="C1077">
        <v>17</v>
      </c>
      <c r="D1077">
        <v>872625</v>
      </c>
      <c r="E1077" t="s">
        <v>334</v>
      </c>
      <c r="F1077" t="s">
        <v>337</v>
      </c>
    </row>
    <row r="1078" spans="1:6" x14ac:dyDescent="0.25">
      <c r="A1078" s="1">
        <v>0</v>
      </c>
      <c r="B1078" s="1">
        <v>1077</v>
      </c>
      <c r="C1078">
        <v>18</v>
      </c>
      <c r="D1078">
        <v>9400</v>
      </c>
      <c r="E1078" t="s">
        <v>334</v>
      </c>
      <c r="F1078" t="s">
        <v>337</v>
      </c>
    </row>
    <row r="1079" spans="1:6" x14ac:dyDescent="0.25">
      <c r="A1079" s="1">
        <v>0</v>
      </c>
      <c r="B1079" s="1">
        <v>1078</v>
      </c>
      <c r="C1079">
        <v>19</v>
      </c>
      <c r="D1079">
        <v>459999</v>
      </c>
      <c r="E1079" t="s">
        <v>334</v>
      </c>
      <c r="F1079" t="s">
        <v>337</v>
      </c>
    </row>
    <row r="1080" spans="1:6" x14ac:dyDescent="0.25">
      <c r="A1080" s="1">
        <v>0</v>
      </c>
      <c r="B1080" s="1">
        <v>1079</v>
      </c>
      <c r="C1080">
        <v>20</v>
      </c>
      <c r="D1080">
        <v>750000</v>
      </c>
      <c r="E1080" t="s">
        <v>334</v>
      </c>
      <c r="F1080" t="s">
        <v>337</v>
      </c>
    </row>
    <row r="1081" spans="1:6" x14ac:dyDescent="0.25">
      <c r="A1081" s="1">
        <v>0</v>
      </c>
      <c r="B1081" s="1">
        <v>1080</v>
      </c>
      <c r="C1081">
        <v>21</v>
      </c>
      <c r="D1081">
        <v>8300</v>
      </c>
      <c r="E1081" t="s">
        <v>334</v>
      </c>
      <c r="F1081" t="s">
        <v>337</v>
      </c>
    </row>
    <row r="1082" spans="1:6" x14ac:dyDescent="0.25">
      <c r="A1082" s="1">
        <v>0</v>
      </c>
      <c r="B1082" s="1">
        <v>1081</v>
      </c>
      <c r="C1082">
        <v>22</v>
      </c>
      <c r="D1082">
        <v>389000</v>
      </c>
      <c r="E1082" t="s">
        <v>334</v>
      </c>
      <c r="F1082" t="s">
        <v>337</v>
      </c>
    </row>
    <row r="1083" spans="1:6" x14ac:dyDescent="0.25">
      <c r="A1083" s="1">
        <v>0</v>
      </c>
      <c r="B1083" s="1">
        <v>1082</v>
      </c>
      <c r="C1083">
        <v>23</v>
      </c>
      <c r="D1083">
        <v>828000</v>
      </c>
      <c r="E1083" t="s">
        <v>334</v>
      </c>
      <c r="F1083" t="s">
        <v>337</v>
      </c>
    </row>
    <row r="1084" spans="1:6" x14ac:dyDescent="0.25">
      <c r="A1084" s="1">
        <v>0</v>
      </c>
      <c r="B1084" s="1">
        <v>1083</v>
      </c>
      <c r="C1084">
        <v>24</v>
      </c>
      <c r="D1084">
        <v>10805</v>
      </c>
      <c r="E1084" t="s">
        <v>334</v>
      </c>
      <c r="F1084" t="s">
        <v>337</v>
      </c>
    </row>
    <row r="1085" spans="1:6" x14ac:dyDescent="0.25">
      <c r="A1085" s="1">
        <v>0</v>
      </c>
      <c r="B1085" s="1">
        <v>1084</v>
      </c>
      <c r="C1085">
        <v>25</v>
      </c>
      <c r="D1085">
        <v>186100</v>
      </c>
      <c r="E1085" t="s">
        <v>334</v>
      </c>
      <c r="F1085" t="s">
        <v>337</v>
      </c>
    </row>
    <row r="1086" spans="1:6" x14ac:dyDescent="0.25">
      <c r="A1086" s="1">
        <v>0</v>
      </c>
      <c r="B1086" s="1">
        <v>1085</v>
      </c>
      <c r="C1086">
        <v>26</v>
      </c>
      <c r="D1086">
        <v>578999</v>
      </c>
      <c r="E1086" t="s">
        <v>334</v>
      </c>
      <c r="F1086" t="s">
        <v>337</v>
      </c>
    </row>
    <row r="1087" spans="1:6" x14ac:dyDescent="0.25">
      <c r="A1087" s="1">
        <v>0</v>
      </c>
      <c r="B1087" s="1">
        <v>1086</v>
      </c>
      <c r="C1087">
        <v>101</v>
      </c>
      <c r="D1087">
        <v>18400</v>
      </c>
      <c r="E1087" t="s">
        <v>334</v>
      </c>
      <c r="F1087" t="s">
        <v>337</v>
      </c>
    </row>
    <row r="1088" spans="1:6" x14ac:dyDescent="0.25">
      <c r="A1088" s="1">
        <v>0</v>
      </c>
      <c r="B1088" s="1">
        <v>1087</v>
      </c>
      <c r="C1088">
        <v>102</v>
      </c>
      <c r="D1088">
        <v>13333</v>
      </c>
      <c r="E1088" t="s">
        <v>334</v>
      </c>
      <c r="F1088" t="s">
        <v>337</v>
      </c>
    </row>
    <row r="1089" spans="1:6" x14ac:dyDescent="0.25">
      <c r="A1089" s="1">
        <v>0</v>
      </c>
      <c r="B1089" s="1">
        <v>1088</v>
      </c>
      <c r="C1089">
        <v>103</v>
      </c>
      <c r="D1089">
        <v>110000</v>
      </c>
      <c r="E1089" t="s">
        <v>334</v>
      </c>
      <c r="F1089" t="s">
        <v>337</v>
      </c>
    </row>
    <row r="1090" spans="1:6" x14ac:dyDescent="0.25">
      <c r="A1090" s="1">
        <v>0</v>
      </c>
      <c r="B1090" s="1">
        <v>1089</v>
      </c>
      <c r="C1090">
        <v>200</v>
      </c>
      <c r="D1090">
        <v>16400</v>
      </c>
      <c r="E1090" t="s">
        <v>334</v>
      </c>
      <c r="F1090" t="s">
        <v>337</v>
      </c>
    </row>
    <row r="1091" spans="1:6" x14ac:dyDescent="0.25">
      <c r="A1091" s="1">
        <v>0</v>
      </c>
      <c r="B1091" s="1">
        <v>1090</v>
      </c>
      <c r="C1091">
        <v>201</v>
      </c>
      <c r="D1091">
        <v>7800</v>
      </c>
      <c r="E1091" t="s">
        <v>334</v>
      </c>
      <c r="F1091" t="s">
        <v>337</v>
      </c>
    </row>
    <row r="1092" spans="1:6" x14ac:dyDescent="0.25">
      <c r="A1092" s="1">
        <v>0</v>
      </c>
      <c r="B1092" s="1">
        <v>1091</v>
      </c>
      <c r="C1092">
        <v>202</v>
      </c>
      <c r="D1092">
        <v>8600</v>
      </c>
      <c r="E1092" t="s">
        <v>334</v>
      </c>
      <c r="F1092" t="s">
        <v>337</v>
      </c>
    </row>
    <row r="1093" spans="1:6" x14ac:dyDescent="0.25">
      <c r="A1093" s="1">
        <v>0</v>
      </c>
      <c r="B1093" s="1">
        <v>1092</v>
      </c>
      <c r="C1093">
        <v>203</v>
      </c>
      <c r="D1093">
        <v>23200</v>
      </c>
      <c r="E1093" t="s">
        <v>334</v>
      </c>
      <c r="F1093" t="s">
        <v>337</v>
      </c>
    </row>
    <row r="1094" spans="1:6" x14ac:dyDescent="0.25">
      <c r="A1094" s="1">
        <v>0</v>
      </c>
      <c r="B1094" s="1">
        <v>1093</v>
      </c>
      <c r="C1094">
        <v>204</v>
      </c>
      <c r="D1094">
        <v>21000</v>
      </c>
      <c r="E1094" t="s">
        <v>334</v>
      </c>
      <c r="F1094" t="s">
        <v>337</v>
      </c>
    </row>
    <row r="1095" spans="1:6" x14ac:dyDescent="0.25">
      <c r="A1095" s="1">
        <v>0</v>
      </c>
      <c r="B1095" s="1">
        <v>1094</v>
      </c>
      <c r="C1095">
        <v>205</v>
      </c>
      <c r="D1095">
        <v>11800</v>
      </c>
      <c r="E1095" t="s">
        <v>334</v>
      </c>
      <c r="F1095" t="s">
        <v>337</v>
      </c>
    </row>
    <row r="1096" spans="1:6" x14ac:dyDescent="0.25">
      <c r="A1096" s="1">
        <v>0</v>
      </c>
      <c r="B1096" s="1">
        <v>1095</v>
      </c>
      <c r="C1096">
        <v>206</v>
      </c>
      <c r="D1096">
        <v>40000</v>
      </c>
      <c r="E1096" t="s">
        <v>334</v>
      </c>
      <c r="F1096" t="s">
        <v>337</v>
      </c>
    </row>
    <row r="1097" spans="1:6" x14ac:dyDescent="0.25">
      <c r="A1097" s="1">
        <v>0</v>
      </c>
      <c r="B1097" s="1">
        <v>1096</v>
      </c>
      <c r="C1097">
        <v>207</v>
      </c>
      <c r="D1097">
        <v>49200</v>
      </c>
      <c r="E1097" t="s">
        <v>334</v>
      </c>
      <c r="F1097" t="s">
        <v>337</v>
      </c>
    </row>
    <row r="1098" spans="1:6" x14ac:dyDescent="0.25">
      <c r="A1098" s="1">
        <v>0</v>
      </c>
      <c r="B1098" s="1">
        <v>1097</v>
      </c>
      <c r="C1098">
        <v>1</v>
      </c>
      <c r="D1098">
        <v>16033</v>
      </c>
      <c r="E1098" t="s">
        <v>334</v>
      </c>
      <c r="F1098" t="s">
        <v>338</v>
      </c>
    </row>
    <row r="1099" spans="1:6" x14ac:dyDescent="0.25">
      <c r="A1099" s="1">
        <v>0</v>
      </c>
      <c r="B1099" s="1">
        <v>1098</v>
      </c>
      <c r="C1099">
        <v>2</v>
      </c>
      <c r="D1099">
        <v>15400</v>
      </c>
      <c r="E1099" t="s">
        <v>334</v>
      </c>
      <c r="F1099" t="s">
        <v>338</v>
      </c>
    </row>
    <row r="1100" spans="1:6" x14ac:dyDescent="0.25">
      <c r="A1100" s="1">
        <v>0</v>
      </c>
      <c r="B1100" s="1">
        <v>1099</v>
      </c>
      <c r="C1100">
        <v>3</v>
      </c>
      <c r="D1100">
        <v>49400</v>
      </c>
      <c r="E1100" t="s">
        <v>334</v>
      </c>
      <c r="F1100" t="s">
        <v>338</v>
      </c>
    </row>
    <row r="1101" spans="1:6" x14ac:dyDescent="0.25">
      <c r="A1101" s="1">
        <v>0</v>
      </c>
      <c r="B1101" s="1">
        <v>1100</v>
      </c>
      <c r="C1101">
        <v>9</v>
      </c>
      <c r="D1101">
        <v>9300</v>
      </c>
      <c r="E1101" t="s">
        <v>334</v>
      </c>
      <c r="F1101" t="s">
        <v>338</v>
      </c>
    </row>
    <row r="1102" spans="1:6" x14ac:dyDescent="0.25">
      <c r="A1102" s="1">
        <v>0</v>
      </c>
      <c r="B1102" s="1">
        <v>1101</v>
      </c>
      <c r="C1102">
        <v>10</v>
      </c>
      <c r="D1102">
        <v>375000</v>
      </c>
      <c r="E1102" t="s">
        <v>334</v>
      </c>
      <c r="F1102" t="s">
        <v>338</v>
      </c>
    </row>
    <row r="1103" spans="1:6" x14ac:dyDescent="0.25">
      <c r="A1103" s="1">
        <v>0</v>
      </c>
      <c r="B1103" s="1">
        <v>1102</v>
      </c>
      <c r="C1103">
        <v>11</v>
      </c>
      <c r="D1103">
        <v>807692</v>
      </c>
      <c r="E1103" t="s">
        <v>334</v>
      </c>
      <c r="F1103" t="s">
        <v>338</v>
      </c>
    </row>
    <row r="1104" spans="1:6" x14ac:dyDescent="0.25">
      <c r="A1104" s="1">
        <v>0</v>
      </c>
      <c r="B1104" s="1">
        <v>1103</v>
      </c>
      <c r="C1104">
        <v>12</v>
      </c>
      <c r="D1104">
        <v>15600</v>
      </c>
      <c r="E1104" t="s">
        <v>334</v>
      </c>
      <c r="F1104" t="s">
        <v>338</v>
      </c>
    </row>
    <row r="1105" spans="1:6" x14ac:dyDescent="0.25">
      <c r="A1105" s="1">
        <v>0</v>
      </c>
      <c r="B1105" s="1">
        <v>1104</v>
      </c>
      <c r="C1105">
        <v>13</v>
      </c>
      <c r="D1105">
        <v>183333</v>
      </c>
      <c r="E1105" t="s">
        <v>334</v>
      </c>
      <c r="F1105" t="s">
        <v>338</v>
      </c>
    </row>
    <row r="1106" spans="1:6" x14ac:dyDescent="0.25">
      <c r="A1106" s="1">
        <v>0</v>
      </c>
      <c r="B1106" s="1">
        <v>1105</v>
      </c>
      <c r="C1106">
        <v>14</v>
      </c>
      <c r="D1106">
        <v>750000</v>
      </c>
      <c r="E1106" t="s">
        <v>334</v>
      </c>
      <c r="F1106" t="s">
        <v>338</v>
      </c>
    </row>
    <row r="1107" spans="1:6" x14ac:dyDescent="0.25">
      <c r="A1107" s="1">
        <v>0</v>
      </c>
      <c r="B1107" s="1">
        <v>1106</v>
      </c>
      <c r="C1107">
        <v>15</v>
      </c>
      <c r="D1107">
        <v>8800</v>
      </c>
      <c r="E1107" t="s">
        <v>334</v>
      </c>
      <c r="F1107" t="s">
        <v>338</v>
      </c>
    </row>
    <row r="1108" spans="1:6" x14ac:dyDescent="0.25">
      <c r="A1108" s="1">
        <v>0</v>
      </c>
      <c r="B1108" s="1">
        <v>1107</v>
      </c>
      <c r="C1108">
        <v>16</v>
      </c>
      <c r="D1108">
        <v>499000</v>
      </c>
      <c r="E1108" t="s">
        <v>334</v>
      </c>
      <c r="F1108" t="s">
        <v>338</v>
      </c>
    </row>
    <row r="1109" spans="1:6" x14ac:dyDescent="0.25">
      <c r="A1109" s="1">
        <v>0</v>
      </c>
      <c r="B1109" s="1">
        <v>1108</v>
      </c>
      <c r="C1109">
        <v>17</v>
      </c>
      <c r="D1109">
        <v>872625</v>
      </c>
      <c r="E1109" t="s">
        <v>334</v>
      </c>
      <c r="F1109" t="s">
        <v>338</v>
      </c>
    </row>
    <row r="1110" spans="1:6" x14ac:dyDescent="0.25">
      <c r="A1110" s="1">
        <v>0</v>
      </c>
      <c r="B1110" s="1">
        <v>1109</v>
      </c>
      <c r="C1110">
        <v>18</v>
      </c>
      <c r="D1110">
        <v>9300</v>
      </c>
      <c r="E1110" t="s">
        <v>334</v>
      </c>
      <c r="F1110" t="s">
        <v>338</v>
      </c>
    </row>
    <row r="1111" spans="1:6" x14ac:dyDescent="0.25">
      <c r="A1111" s="1">
        <v>0</v>
      </c>
      <c r="B1111" s="1">
        <v>1110</v>
      </c>
      <c r="C1111">
        <v>19</v>
      </c>
      <c r="D1111">
        <v>399000</v>
      </c>
      <c r="E1111" t="s">
        <v>334</v>
      </c>
      <c r="F1111" t="s">
        <v>338</v>
      </c>
    </row>
    <row r="1112" spans="1:6" x14ac:dyDescent="0.25">
      <c r="A1112" s="1">
        <v>0</v>
      </c>
      <c r="B1112" s="1">
        <v>1111</v>
      </c>
      <c r="C1112">
        <v>20</v>
      </c>
      <c r="D1112">
        <v>750000</v>
      </c>
      <c r="E1112" t="s">
        <v>334</v>
      </c>
      <c r="F1112" t="s">
        <v>338</v>
      </c>
    </row>
    <row r="1113" spans="1:6" x14ac:dyDescent="0.25">
      <c r="A1113" s="1">
        <v>0</v>
      </c>
      <c r="B1113" s="1">
        <v>1112</v>
      </c>
      <c r="C1113">
        <v>21</v>
      </c>
      <c r="D1113">
        <v>8100</v>
      </c>
      <c r="E1113" t="s">
        <v>334</v>
      </c>
      <c r="F1113" t="s">
        <v>338</v>
      </c>
    </row>
    <row r="1114" spans="1:6" x14ac:dyDescent="0.25">
      <c r="A1114" s="1">
        <v>0</v>
      </c>
      <c r="B1114" s="1">
        <v>1113</v>
      </c>
      <c r="C1114">
        <v>22</v>
      </c>
      <c r="D1114">
        <v>408000</v>
      </c>
      <c r="E1114" t="s">
        <v>334</v>
      </c>
      <c r="F1114" t="s">
        <v>338</v>
      </c>
    </row>
    <row r="1115" spans="1:6" x14ac:dyDescent="0.25">
      <c r="A1115" s="1">
        <v>0</v>
      </c>
      <c r="B1115" s="1">
        <v>1114</v>
      </c>
      <c r="C1115">
        <v>23</v>
      </c>
      <c r="D1115">
        <v>828000</v>
      </c>
      <c r="E1115" t="s">
        <v>334</v>
      </c>
      <c r="F1115" t="s">
        <v>338</v>
      </c>
    </row>
    <row r="1116" spans="1:6" x14ac:dyDescent="0.25">
      <c r="A1116" s="1">
        <v>0</v>
      </c>
      <c r="B1116" s="1">
        <v>1115</v>
      </c>
      <c r="C1116">
        <v>24</v>
      </c>
      <c r="D1116">
        <v>19200</v>
      </c>
      <c r="E1116" t="s">
        <v>334</v>
      </c>
      <c r="F1116" t="s">
        <v>338</v>
      </c>
    </row>
    <row r="1117" spans="1:6" x14ac:dyDescent="0.25">
      <c r="A1117" s="1">
        <v>0</v>
      </c>
      <c r="B1117" s="1">
        <v>1116</v>
      </c>
      <c r="C1117">
        <v>25</v>
      </c>
      <c r="D1117">
        <v>185750</v>
      </c>
      <c r="E1117" t="s">
        <v>334</v>
      </c>
      <c r="F1117" t="s">
        <v>338</v>
      </c>
    </row>
    <row r="1118" spans="1:6" x14ac:dyDescent="0.25">
      <c r="A1118" s="1">
        <v>0</v>
      </c>
      <c r="B1118" s="1">
        <v>1117</v>
      </c>
      <c r="C1118">
        <v>26</v>
      </c>
      <c r="D1118">
        <v>578999</v>
      </c>
      <c r="E1118" t="s">
        <v>334</v>
      </c>
      <c r="F1118" t="s">
        <v>338</v>
      </c>
    </row>
    <row r="1119" spans="1:6" x14ac:dyDescent="0.25">
      <c r="A1119" s="1">
        <v>0</v>
      </c>
      <c r="B1119" s="1">
        <v>1118</v>
      </c>
      <c r="C1119">
        <v>101</v>
      </c>
      <c r="D1119">
        <v>18495</v>
      </c>
      <c r="E1119" t="s">
        <v>334</v>
      </c>
      <c r="F1119" t="s">
        <v>338</v>
      </c>
    </row>
    <row r="1120" spans="1:6" x14ac:dyDescent="0.25">
      <c r="A1120" s="1">
        <v>0</v>
      </c>
      <c r="B1120" s="1">
        <v>1119</v>
      </c>
      <c r="C1120">
        <v>102</v>
      </c>
      <c r="D1120">
        <v>14000</v>
      </c>
      <c r="E1120" t="s">
        <v>334</v>
      </c>
      <c r="F1120" t="s">
        <v>338</v>
      </c>
    </row>
    <row r="1121" spans="1:6" x14ac:dyDescent="0.25">
      <c r="A1121" s="1">
        <v>0</v>
      </c>
      <c r="B1121" s="1">
        <v>1120</v>
      </c>
      <c r="C1121">
        <v>103</v>
      </c>
      <c r="D1121">
        <v>104750</v>
      </c>
      <c r="E1121" t="s">
        <v>334</v>
      </c>
      <c r="F1121" t="s">
        <v>338</v>
      </c>
    </row>
    <row r="1122" spans="1:6" x14ac:dyDescent="0.25">
      <c r="A1122" s="1">
        <v>0</v>
      </c>
      <c r="B1122" s="1">
        <v>1121</v>
      </c>
      <c r="C1122">
        <v>200</v>
      </c>
      <c r="D1122">
        <v>16200</v>
      </c>
      <c r="E1122" t="s">
        <v>334</v>
      </c>
      <c r="F1122" t="s">
        <v>338</v>
      </c>
    </row>
    <row r="1123" spans="1:6" x14ac:dyDescent="0.25">
      <c r="A1123" s="1">
        <v>0</v>
      </c>
      <c r="B1123" s="1">
        <v>1122</v>
      </c>
      <c r="C1123">
        <v>201</v>
      </c>
      <c r="D1123">
        <v>22400</v>
      </c>
      <c r="E1123" t="s">
        <v>334</v>
      </c>
      <c r="F1123" t="s">
        <v>338</v>
      </c>
    </row>
    <row r="1124" spans="1:6" x14ac:dyDescent="0.25">
      <c r="A1124" s="1">
        <v>0</v>
      </c>
      <c r="B1124" s="1">
        <v>1123</v>
      </c>
      <c r="C1124">
        <v>202</v>
      </c>
      <c r="D1124">
        <v>8500</v>
      </c>
      <c r="E1124" t="s">
        <v>334</v>
      </c>
      <c r="F1124" t="s">
        <v>338</v>
      </c>
    </row>
    <row r="1125" spans="1:6" x14ac:dyDescent="0.25">
      <c r="A1125" s="1">
        <v>0</v>
      </c>
      <c r="B1125" s="1">
        <v>1124</v>
      </c>
      <c r="C1125">
        <v>203</v>
      </c>
      <c r="D1125">
        <v>22500</v>
      </c>
      <c r="E1125" t="s">
        <v>334</v>
      </c>
      <c r="F1125" t="s">
        <v>338</v>
      </c>
    </row>
    <row r="1126" spans="1:6" x14ac:dyDescent="0.25">
      <c r="A1126" s="1">
        <v>0</v>
      </c>
      <c r="B1126" s="1">
        <v>1125</v>
      </c>
      <c r="C1126">
        <v>204</v>
      </c>
      <c r="D1126">
        <v>21800</v>
      </c>
      <c r="E1126" t="s">
        <v>334</v>
      </c>
      <c r="F1126" t="s">
        <v>338</v>
      </c>
    </row>
    <row r="1127" spans="1:6" x14ac:dyDescent="0.25">
      <c r="A1127" s="1">
        <v>0</v>
      </c>
      <c r="B1127" s="1">
        <v>1126</v>
      </c>
      <c r="C1127">
        <v>205</v>
      </c>
      <c r="D1127">
        <v>11399</v>
      </c>
      <c r="E1127" t="s">
        <v>334</v>
      </c>
      <c r="F1127" t="s">
        <v>338</v>
      </c>
    </row>
    <row r="1128" spans="1:6" x14ac:dyDescent="0.25">
      <c r="A1128" s="1">
        <v>0</v>
      </c>
      <c r="B1128" s="1">
        <v>1127</v>
      </c>
      <c r="C1128">
        <v>206</v>
      </c>
      <c r="D1128">
        <v>39600</v>
      </c>
      <c r="E1128" t="s">
        <v>334</v>
      </c>
      <c r="F1128" t="s">
        <v>338</v>
      </c>
    </row>
    <row r="1129" spans="1:6" x14ac:dyDescent="0.25">
      <c r="A1129" s="1">
        <v>0</v>
      </c>
      <c r="B1129" s="1">
        <v>1128</v>
      </c>
      <c r="C1129">
        <v>207</v>
      </c>
      <c r="D1129">
        <v>49200</v>
      </c>
      <c r="E1129" t="s">
        <v>334</v>
      </c>
      <c r="F1129" t="s">
        <v>338</v>
      </c>
    </row>
    <row r="1130" spans="1:6" x14ac:dyDescent="0.25">
      <c r="A1130" s="1">
        <v>0</v>
      </c>
      <c r="B1130" s="1">
        <v>1129</v>
      </c>
      <c r="C1130">
        <v>1</v>
      </c>
      <c r="D1130">
        <v>14600</v>
      </c>
      <c r="E1130" t="s">
        <v>339</v>
      </c>
      <c r="F1130" t="s">
        <v>340</v>
      </c>
    </row>
    <row r="1131" spans="1:6" x14ac:dyDescent="0.25">
      <c r="A1131" s="1">
        <v>0</v>
      </c>
      <c r="B1131" s="1">
        <v>1130</v>
      </c>
      <c r="C1131">
        <v>2</v>
      </c>
      <c r="D1131">
        <v>10800</v>
      </c>
      <c r="E1131" t="s">
        <v>339</v>
      </c>
      <c r="F1131" t="s">
        <v>340</v>
      </c>
    </row>
    <row r="1132" spans="1:6" x14ac:dyDescent="0.25">
      <c r="A1132" s="1">
        <v>0</v>
      </c>
      <c r="B1132" s="1">
        <v>1131</v>
      </c>
      <c r="C1132">
        <v>3</v>
      </c>
      <c r="D1132">
        <v>75000</v>
      </c>
      <c r="E1132" t="s">
        <v>339</v>
      </c>
      <c r="F1132" t="s">
        <v>340</v>
      </c>
    </row>
    <row r="1133" spans="1:6" x14ac:dyDescent="0.25">
      <c r="A1133" s="1">
        <v>0</v>
      </c>
      <c r="B1133" s="1">
        <v>1132</v>
      </c>
      <c r="C1133">
        <v>9</v>
      </c>
      <c r="D1133">
        <v>9400</v>
      </c>
      <c r="E1133" t="s">
        <v>339</v>
      </c>
      <c r="F1133" t="s">
        <v>340</v>
      </c>
    </row>
    <row r="1134" spans="1:6" x14ac:dyDescent="0.25">
      <c r="A1134" s="1">
        <v>0</v>
      </c>
      <c r="B1134" s="1">
        <v>1133</v>
      </c>
      <c r="C1134">
        <v>10</v>
      </c>
      <c r="D1134">
        <v>699999</v>
      </c>
      <c r="E1134" t="s">
        <v>339</v>
      </c>
      <c r="F1134" t="s">
        <v>340</v>
      </c>
    </row>
    <row r="1135" spans="1:6" x14ac:dyDescent="0.25">
      <c r="A1135" s="1">
        <v>0</v>
      </c>
      <c r="B1135" s="1">
        <v>1134</v>
      </c>
      <c r="C1135">
        <v>11</v>
      </c>
      <c r="D1135">
        <v>807692</v>
      </c>
      <c r="E1135" t="s">
        <v>339</v>
      </c>
      <c r="F1135" t="s">
        <v>340</v>
      </c>
    </row>
    <row r="1136" spans="1:6" x14ac:dyDescent="0.25">
      <c r="A1136" s="1">
        <v>0</v>
      </c>
      <c r="B1136" s="1">
        <v>1135</v>
      </c>
      <c r="C1136">
        <v>12</v>
      </c>
      <c r="D1136">
        <v>15600</v>
      </c>
      <c r="E1136" t="s">
        <v>339</v>
      </c>
      <c r="F1136" t="s">
        <v>340</v>
      </c>
    </row>
    <row r="1137" spans="1:6" x14ac:dyDescent="0.25">
      <c r="A1137" s="1">
        <v>0</v>
      </c>
      <c r="B1137" s="1">
        <v>1136</v>
      </c>
      <c r="C1137">
        <v>13</v>
      </c>
      <c r="D1137">
        <v>318000</v>
      </c>
      <c r="E1137" t="s">
        <v>339</v>
      </c>
      <c r="F1137" t="s">
        <v>340</v>
      </c>
    </row>
    <row r="1138" spans="1:6" x14ac:dyDescent="0.25">
      <c r="A1138" s="1">
        <v>0</v>
      </c>
      <c r="B1138" s="1">
        <v>1137</v>
      </c>
      <c r="C1138">
        <v>14</v>
      </c>
      <c r="D1138">
        <v>750000</v>
      </c>
      <c r="E1138" t="s">
        <v>339</v>
      </c>
      <c r="F1138" t="s">
        <v>340</v>
      </c>
    </row>
    <row r="1139" spans="1:6" x14ac:dyDescent="0.25">
      <c r="A1139" s="1">
        <v>0</v>
      </c>
      <c r="B1139" s="1">
        <v>1138</v>
      </c>
      <c r="C1139">
        <v>15</v>
      </c>
      <c r="D1139">
        <v>8700</v>
      </c>
      <c r="E1139" t="s">
        <v>339</v>
      </c>
      <c r="F1139" t="s">
        <v>340</v>
      </c>
    </row>
    <row r="1140" spans="1:6" x14ac:dyDescent="0.25">
      <c r="A1140" s="1">
        <v>0</v>
      </c>
      <c r="B1140" s="1">
        <v>1139</v>
      </c>
      <c r="C1140">
        <v>16</v>
      </c>
      <c r="D1140">
        <v>310000</v>
      </c>
      <c r="E1140" t="s">
        <v>339</v>
      </c>
      <c r="F1140" t="s">
        <v>340</v>
      </c>
    </row>
    <row r="1141" spans="1:6" x14ac:dyDescent="0.25">
      <c r="A1141" s="1">
        <v>0</v>
      </c>
      <c r="B1141" s="1">
        <v>1140</v>
      </c>
      <c r="C1141">
        <v>17</v>
      </c>
      <c r="D1141">
        <v>872625</v>
      </c>
      <c r="E1141" t="s">
        <v>339</v>
      </c>
      <c r="F1141" t="s">
        <v>340</v>
      </c>
    </row>
    <row r="1142" spans="1:6" x14ac:dyDescent="0.25">
      <c r="A1142" s="1">
        <v>0</v>
      </c>
      <c r="B1142" s="1">
        <v>1141</v>
      </c>
      <c r="C1142">
        <v>18</v>
      </c>
      <c r="D1142">
        <v>9000</v>
      </c>
      <c r="E1142" t="s">
        <v>339</v>
      </c>
      <c r="F1142" t="s">
        <v>340</v>
      </c>
    </row>
    <row r="1143" spans="1:6" x14ac:dyDescent="0.25">
      <c r="A1143" s="1">
        <v>0</v>
      </c>
      <c r="B1143" s="1">
        <v>1142</v>
      </c>
      <c r="C1143">
        <v>19</v>
      </c>
      <c r="D1143">
        <v>373000</v>
      </c>
      <c r="E1143" t="s">
        <v>339</v>
      </c>
      <c r="F1143" t="s">
        <v>340</v>
      </c>
    </row>
    <row r="1144" spans="1:6" x14ac:dyDescent="0.25">
      <c r="A1144" s="1">
        <v>0</v>
      </c>
      <c r="B1144" s="1">
        <v>1143</v>
      </c>
      <c r="C1144">
        <v>20</v>
      </c>
      <c r="D1144">
        <v>750000</v>
      </c>
      <c r="E1144" t="s">
        <v>339</v>
      </c>
      <c r="F1144" t="s">
        <v>340</v>
      </c>
    </row>
    <row r="1145" spans="1:6" x14ac:dyDescent="0.25">
      <c r="A1145" s="1">
        <v>0</v>
      </c>
      <c r="B1145" s="1">
        <v>1144</v>
      </c>
      <c r="C1145">
        <v>21</v>
      </c>
      <c r="D1145">
        <v>9500</v>
      </c>
      <c r="E1145" t="s">
        <v>339</v>
      </c>
      <c r="F1145" t="s">
        <v>340</v>
      </c>
    </row>
    <row r="1146" spans="1:6" x14ac:dyDescent="0.25">
      <c r="A1146" s="1">
        <v>0</v>
      </c>
      <c r="B1146" s="1">
        <v>1145</v>
      </c>
      <c r="C1146">
        <v>22</v>
      </c>
      <c r="D1146">
        <v>387000</v>
      </c>
      <c r="E1146" t="s">
        <v>339</v>
      </c>
      <c r="F1146" t="s">
        <v>340</v>
      </c>
    </row>
    <row r="1147" spans="1:6" x14ac:dyDescent="0.25">
      <c r="A1147" s="1">
        <v>0</v>
      </c>
      <c r="B1147" s="1">
        <v>1146</v>
      </c>
      <c r="C1147">
        <v>23</v>
      </c>
      <c r="D1147">
        <v>828000</v>
      </c>
      <c r="E1147" t="s">
        <v>339</v>
      </c>
      <c r="F1147" t="s">
        <v>340</v>
      </c>
    </row>
    <row r="1148" spans="1:6" x14ac:dyDescent="0.25">
      <c r="A1148" s="1">
        <v>0</v>
      </c>
      <c r="B1148" s="1">
        <v>1147</v>
      </c>
      <c r="C1148">
        <v>24</v>
      </c>
      <c r="D1148">
        <v>18800</v>
      </c>
      <c r="E1148" t="s">
        <v>339</v>
      </c>
      <c r="F1148" t="s">
        <v>340</v>
      </c>
    </row>
    <row r="1149" spans="1:6" x14ac:dyDescent="0.25">
      <c r="A1149" s="1">
        <v>0</v>
      </c>
      <c r="B1149" s="1">
        <v>1148</v>
      </c>
      <c r="C1149">
        <v>25</v>
      </c>
      <c r="D1149">
        <v>148000</v>
      </c>
      <c r="E1149" t="s">
        <v>339</v>
      </c>
      <c r="F1149" t="s">
        <v>340</v>
      </c>
    </row>
    <row r="1150" spans="1:6" x14ac:dyDescent="0.25">
      <c r="A1150" s="1">
        <v>0</v>
      </c>
      <c r="B1150" s="1">
        <v>1149</v>
      </c>
      <c r="C1150">
        <v>26</v>
      </c>
      <c r="D1150">
        <v>578999</v>
      </c>
      <c r="E1150" t="s">
        <v>339</v>
      </c>
      <c r="F1150" t="s">
        <v>340</v>
      </c>
    </row>
    <row r="1151" spans="1:6" x14ac:dyDescent="0.25">
      <c r="A1151" s="1">
        <v>0</v>
      </c>
      <c r="B1151" s="1">
        <v>1150</v>
      </c>
      <c r="C1151">
        <v>101</v>
      </c>
      <c r="D1151">
        <v>21600</v>
      </c>
      <c r="E1151" t="s">
        <v>339</v>
      </c>
      <c r="F1151" t="s">
        <v>340</v>
      </c>
    </row>
    <row r="1152" spans="1:6" x14ac:dyDescent="0.25">
      <c r="A1152" s="1">
        <v>0</v>
      </c>
      <c r="B1152" s="1">
        <v>1151</v>
      </c>
      <c r="C1152">
        <v>102</v>
      </c>
      <c r="D1152">
        <v>20000</v>
      </c>
      <c r="E1152" t="s">
        <v>339</v>
      </c>
      <c r="F1152" t="s">
        <v>340</v>
      </c>
    </row>
    <row r="1153" spans="1:6" x14ac:dyDescent="0.25">
      <c r="A1153" s="1">
        <v>0</v>
      </c>
      <c r="B1153" s="1">
        <v>1152</v>
      </c>
      <c r="C1153">
        <v>103</v>
      </c>
      <c r="D1153">
        <v>104500</v>
      </c>
      <c r="E1153" t="s">
        <v>339</v>
      </c>
      <c r="F1153" t="s">
        <v>340</v>
      </c>
    </row>
    <row r="1154" spans="1:6" x14ac:dyDescent="0.25">
      <c r="A1154" s="1">
        <v>0</v>
      </c>
      <c r="B1154" s="1">
        <v>1153</v>
      </c>
      <c r="C1154">
        <v>200</v>
      </c>
      <c r="D1154">
        <v>14400</v>
      </c>
      <c r="E1154" t="s">
        <v>339</v>
      </c>
      <c r="F1154" t="s">
        <v>340</v>
      </c>
    </row>
    <row r="1155" spans="1:6" x14ac:dyDescent="0.25">
      <c r="A1155" s="1">
        <v>0</v>
      </c>
      <c r="B1155" s="1">
        <v>1154</v>
      </c>
      <c r="C1155">
        <v>201</v>
      </c>
      <c r="D1155">
        <v>20400</v>
      </c>
      <c r="E1155" t="s">
        <v>339</v>
      </c>
      <c r="F1155" t="s">
        <v>340</v>
      </c>
    </row>
    <row r="1156" spans="1:6" x14ac:dyDescent="0.25">
      <c r="A1156" s="1">
        <v>0</v>
      </c>
      <c r="B1156" s="1">
        <v>1155</v>
      </c>
      <c r="C1156">
        <v>202</v>
      </c>
      <c r="D1156">
        <v>14600</v>
      </c>
      <c r="E1156" t="s">
        <v>339</v>
      </c>
      <c r="F1156" t="s">
        <v>340</v>
      </c>
    </row>
    <row r="1157" spans="1:6" x14ac:dyDescent="0.25">
      <c r="A1157" s="1">
        <v>0</v>
      </c>
      <c r="B1157" s="1">
        <v>1156</v>
      </c>
      <c r="C1157">
        <v>203</v>
      </c>
      <c r="D1157">
        <v>21800</v>
      </c>
      <c r="E1157" t="s">
        <v>339</v>
      </c>
      <c r="F1157" t="s">
        <v>340</v>
      </c>
    </row>
    <row r="1158" spans="1:6" x14ac:dyDescent="0.25">
      <c r="A1158" s="1">
        <v>0</v>
      </c>
      <c r="B1158" s="1">
        <v>1157</v>
      </c>
      <c r="C1158">
        <v>204</v>
      </c>
      <c r="D1158">
        <v>21600</v>
      </c>
      <c r="E1158" t="s">
        <v>339</v>
      </c>
      <c r="F1158" t="s">
        <v>340</v>
      </c>
    </row>
    <row r="1159" spans="1:6" x14ac:dyDescent="0.25">
      <c r="A1159" s="1">
        <v>0</v>
      </c>
      <c r="B1159" s="1">
        <v>1158</v>
      </c>
      <c r="C1159">
        <v>205</v>
      </c>
      <c r="D1159">
        <v>32250</v>
      </c>
      <c r="E1159" t="s">
        <v>339</v>
      </c>
      <c r="F1159" t="s">
        <v>340</v>
      </c>
    </row>
    <row r="1160" spans="1:6" x14ac:dyDescent="0.25">
      <c r="A1160" s="1">
        <v>0</v>
      </c>
      <c r="B1160" s="1">
        <v>1159</v>
      </c>
      <c r="C1160">
        <v>206</v>
      </c>
      <c r="D1160">
        <v>36400</v>
      </c>
      <c r="E1160" t="s">
        <v>339</v>
      </c>
      <c r="F1160" t="s">
        <v>340</v>
      </c>
    </row>
    <row r="1161" spans="1:6" x14ac:dyDescent="0.25">
      <c r="A1161" s="1">
        <v>0</v>
      </c>
      <c r="B1161" s="1">
        <v>1160</v>
      </c>
      <c r="C1161">
        <v>207</v>
      </c>
      <c r="D1161">
        <v>42000</v>
      </c>
      <c r="E1161" t="s">
        <v>339</v>
      </c>
      <c r="F1161" t="s">
        <v>340</v>
      </c>
    </row>
    <row r="1162" spans="1:6" x14ac:dyDescent="0.25">
      <c r="A1162" s="1">
        <v>0</v>
      </c>
      <c r="B1162" s="1">
        <v>1161</v>
      </c>
      <c r="C1162">
        <v>1</v>
      </c>
      <c r="D1162">
        <v>40000</v>
      </c>
      <c r="E1162" t="s">
        <v>339</v>
      </c>
      <c r="F1162" t="s">
        <v>341</v>
      </c>
    </row>
    <row r="1163" spans="1:6" x14ac:dyDescent="0.25">
      <c r="A1163" s="1">
        <v>0</v>
      </c>
      <c r="B1163" s="1">
        <v>1162</v>
      </c>
      <c r="C1163">
        <v>2</v>
      </c>
      <c r="D1163">
        <v>9900</v>
      </c>
      <c r="E1163" t="s">
        <v>339</v>
      </c>
      <c r="F1163" t="s">
        <v>341</v>
      </c>
    </row>
    <row r="1164" spans="1:6" x14ac:dyDescent="0.25">
      <c r="A1164" s="1">
        <v>0</v>
      </c>
      <c r="B1164" s="1">
        <v>1163</v>
      </c>
      <c r="C1164">
        <v>3</v>
      </c>
      <c r="D1164">
        <v>63999</v>
      </c>
      <c r="E1164" t="s">
        <v>339</v>
      </c>
      <c r="F1164" t="s">
        <v>341</v>
      </c>
    </row>
    <row r="1165" spans="1:6" x14ac:dyDescent="0.25">
      <c r="A1165" s="1">
        <v>0</v>
      </c>
      <c r="B1165" s="1">
        <v>1164</v>
      </c>
      <c r="C1165">
        <v>9</v>
      </c>
      <c r="D1165">
        <v>9200</v>
      </c>
      <c r="E1165" t="s">
        <v>339</v>
      </c>
      <c r="F1165" t="s">
        <v>341</v>
      </c>
    </row>
    <row r="1166" spans="1:6" x14ac:dyDescent="0.25">
      <c r="A1166" s="1">
        <v>0</v>
      </c>
      <c r="B1166" s="1">
        <v>1165</v>
      </c>
      <c r="C1166">
        <v>10</v>
      </c>
      <c r="D1166">
        <v>590000</v>
      </c>
      <c r="E1166" t="s">
        <v>339</v>
      </c>
      <c r="F1166" t="s">
        <v>341</v>
      </c>
    </row>
    <row r="1167" spans="1:6" x14ac:dyDescent="0.25">
      <c r="A1167" s="1">
        <v>0</v>
      </c>
      <c r="B1167" s="1">
        <v>1166</v>
      </c>
      <c r="C1167">
        <v>11</v>
      </c>
      <c r="D1167">
        <v>807692</v>
      </c>
      <c r="E1167" t="s">
        <v>339</v>
      </c>
      <c r="F1167" t="s">
        <v>341</v>
      </c>
    </row>
    <row r="1168" spans="1:6" x14ac:dyDescent="0.25">
      <c r="A1168" s="1">
        <v>0</v>
      </c>
      <c r="B1168" s="1">
        <v>1167</v>
      </c>
      <c r="C1168">
        <v>12</v>
      </c>
      <c r="D1168">
        <v>20000</v>
      </c>
      <c r="E1168" t="s">
        <v>339</v>
      </c>
      <c r="F1168" t="s">
        <v>341</v>
      </c>
    </row>
    <row r="1169" spans="1:6" x14ac:dyDescent="0.25">
      <c r="A1169" s="1">
        <v>0</v>
      </c>
      <c r="B1169" s="1">
        <v>1168</v>
      </c>
      <c r="C1169">
        <v>13</v>
      </c>
      <c r="D1169">
        <v>296000</v>
      </c>
      <c r="E1169" t="s">
        <v>339</v>
      </c>
      <c r="F1169" t="s">
        <v>341</v>
      </c>
    </row>
    <row r="1170" spans="1:6" x14ac:dyDescent="0.25">
      <c r="A1170" s="1">
        <v>0</v>
      </c>
      <c r="B1170" s="1">
        <v>1169</v>
      </c>
      <c r="C1170">
        <v>14</v>
      </c>
      <c r="D1170">
        <v>750000</v>
      </c>
      <c r="E1170" t="s">
        <v>339</v>
      </c>
      <c r="F1170" t="s">
        <v>341</v>
      </c>
    </row>
    <row r="1171" spans="1:6" x14ac:dyDescent="0.25">
      <c r="A1171" s="1">
        <v>0</v>
      </c>
      <c r="B1171" s="1">
        <v>1170</v>
      </c>
      <c r="C1171">
        <v>15</v>
      </c>
      <c r="D1171">
        <v>8205</v>
      </c>
      <c r="E1171" t="s">
        <v>339</v>
      </c>
      <c r="F1171" t="s">
        <v>341</v>
      </c>
    </row>
    <row r="1172" spans="1:6" x14ac:dyDescent="0.25">
      <c r="A1172" s="1">
        <v>0</v>
      </c>
      <c r="B1172" s="1">
        <v>1171</v>
      </c>
      <c r="C1172">
        <v>16</v>
      </c>
      <c r="D1172">
        <v>248000</v>
      </c>
      <c r="E1172" t="s">
        <v>339</v>
      </c>
      <c r="F1172" t="s">
        <v>341</v>
      </c>
    </row>
    <row r="1173" spans="1:6" x14ac:dyDescent="0.25">
      <c r="A1173" s="1">
        <v>0</v>
      </c>
      <c r="B1173" s="1">
        <v>1172</v>
      </c>
      <c r="C1173">
        <v>17</v>
      </c>
      <c r="D1173">
        <v>872625</v>
      </c>
      <c r="E1173" t="s">
        <v>339</v>
      </c>
      <c r="F1173" t="s">
        <v>341</v>
      </c>
    </row>
    <row r="1174" spans="1:6" x14ac:dyDescent="0.25">
      <c r="A1174" s="1">
        <v>0</v>
      </c>
      <c r="B1174" s="1">
        <v>1173</v>
      </c>
      <c r="C1174">
        <v>18</v>
      </c>
      <c r="D1174">
        <v>8000</v>
      </c>
      <c r="E1174" t="s">
        <v>339</v>
      </c>
      <c r="F1174" t="s">
        <v>341</v>
      </c>
    </row>
    <row r="1175" spans="1:6" x14ac:dyDescent="0.25">
      <c r="A1175" s="1">
        <v>0</v>
      </c>
      <c r="B1175" s="1">
        <v>1174</v>
      </c>
      <c r="C1175">
        <v>19</v>
      </c>
      <c r="D1175">
        <v>371000</v>
      </c>
      <c r="E1175" t="s">
        <v>339</v>
      </c>
      <c r="F1175" t="s">
        <v>341</v>
      </c>
    </row>
    <row r="1176" spans="1:6" x14ac:dyDescent="0.25">
      <c r="A1176" s="1">
        <v>0</v>
      </c>
      <c r="B1176" s="1">
        <v>1175</v>
      </c>
      <c r="C1176">
        <v>20</v>
      </c>
      <c r="D1176">
        <v>750000</v>
      </c>
      <c r="E1176" t="s">
        <v>339</v>
      </c>
      <c r="F1176" t="s">
        <v>341</v>
      </c>
    </row>
    <row r="1177" spans="1:6" x14ac:dyDescent="0.25">
      <c r="A1177" s="1">
        <v>0</v>
      </c>
      <c r="B1177" s="1">
        <v>1176</v>
      </c>
      <c r="C1177">
        <v>21</v>
      </c>
      <c r="D1177">
        <v>9300</v>
      </c>
      <c r="E1177" t="s">
        <v>339</v>
      </c>
      <c r="F1177" t="s">
        <v>341</v>
      </c>
    </row>
    <row r="1178" spans="1:6" x14ac:dyDescent="0.25">
      <c r="A1178" s="1">
        <v>0</v>
      </c>
      <c r="B1178" s="1">
        <v>1177</v>
      </c>
      <c r="C1178">
        <v>22</v>
      </c>
      <c r="D1178">
        <v>387000</v>
      </c>
      <c r="E1178" t="s">
        <v>339</v>
      </c>
      <c r="F1178" t="s">
        <v>341</v>
      </c>
    </row>
    <row r="1179" spans="1:6" x14ac:dyDescent="0.25">
      <c r="A1179" s="1">
        <v>0</v>
      </c>
      <c r="B1179" s="1">
        <v>1178</v>
      </c>
      <c r="C1179">
        <v>23</v>
      </c>
      <c r="D1179">
        <v>828000</v>
      </c>
      <c r="E1179" t="s">
        <v>339</v>
      </c>
      <c r="F1179" t="s">
        <v>341</v>
      </c>
    </row>
    <row r="1180" spans="1:6" x14ac:dyDescent="0.25">
      <c r="A1180" s="1">
        <v>0</v>
      </c>
      <c r="B1180" s="1">
        <v>1179</v>
      </c>
      <c r="C1180">
        <v>24</v>
      </c>
      <c r="D1180">
        <v>14800</v>
      </c>
      <c r="E1180" t="s">
        <v>339</v>
      </c>
      <c r="F1180" t="s">
        <v>341</v>
      </c>
    </row>
    <row r="1181" spans="1:6" x14ac:dyDescent="0.25">
      <c r="A1181" s="1">
        <v>0</v>
      </c>
      <c r="B1181" s="1">
        <v>1180</v>
      </c>
      <c r="C1181">
        <v>25</v>
      </c>
      <c r="D1181">
        <v>137500</v>
      </c>
      <c r="E1181" t="s">
        <v>339</v>
      </c>
      <c r="F1181" t="s">
        <v>341</v>
      </c>
    </row>
    <row r="1182" spans="1:6" x14ac:dyDescent="0.25">
      <c r="A1182" s="1">
        <v>0</v>
      </c>
      <c r="B1182" s="1">
        <v>1181</v>
      </c>
      <c r="C1182">
        <v>26</v>
      </c>
      <c r="D1182">
        <v>578999</v>
      </c>
      <c r="E1182" t="s">
        <v>339</v>
      </c>
      <c r="F1182" t="s">
        <v>341</v>
      </c>
    </row>
    <row r="1183" spans="1:6" x14ac:dyDescent="0.25">
      <c r="A1183" s="1">
        <v>0</v>
      </c>
      <c r="B1183" s="1">
        <v>1182</v>
      </c>
      <c r="C1183">
        <v>101</v>
      </c>
      <c r="D1183">
        <v>21000</v>
      </c>
      <c r="E1183" t="s">
        <v>339</v>
      </c>
      <c r="F1183" t="s">
        <v>341</v>
      </c>
    </row>
    <row r="1184" spans="1:6" x14ac:dyDescent="0.25">
      <c r="A1184" s="1">
        <v>0</v>
      </c>
      <c r="B1184" s="1">
        <v>1183</v>
      </c>
      <c r="C1184">
        <v>102</v>
      </c>
      <c r="D1184">
        <v>19000</v>
      </c>
      <c r="E1184" t="s">
        <v>339</v>
      </c>
      <c r="F1184" t="s">
        <v>341</v>
      </c>
    </row>
    <row r="1185" spans="1:6" x14ac:dyDescent="0.25">
      <c r="A1185" s="1">
        <v>0</v>
      </c>
      <c r="B1185" s="1">
        <v>1184</v>
      </c>
      <c r="C1185">
        <v>103</v>
      </c>
      <c r="D1185">
        <v>165000</v>
      </c>
      <c r="E1185" t="s">
        <v>339</v>
      </c>
      <c r="F1185" t="s">
        <v>341</v>
      </c>
    </row>
    <row r="1186" spans="1:6" x14ac:dyDescent="0.25">
      <c r="A1186" s="1">
        <v>0</v>
      </c>
      <c r="B1186" s="1">
        <v>1185</v>
      </c>
      <c r="C1186">
        <v>200</v>
      </c>
      <c r="D1186">
        <v>13200</v>
      </c>
      <c r="E1186" t="s">
        <v>339</v>
      </c>
      <c r="F1186" t="s">
        <v>341</v>
      </c>
    </row>
    <row r="1187" spans="1:6" x14ac:dyDescent="0.25">
      <c r="A1187" s="1">
        <v>0</v>
      </c>
      <c r="B1187" s="1">
        <v>1186</v>
      </c>
      <c r="C1187">
        <v>201</v>
      </c>
      <c r="D1187">
        <v>19200</v>
      </c>
      <c r="E1187" t="s">
        <v>339</v>
      </c>
      <c r="F1187" t="s">
        <v>341</v>
      </c>
    </row>
    <row r="1188" spans="1:6" x14ac:dyDescent="0.25">
      <c r="A1188" s="1">
        <v>0</v>
      </c>
      <c r="B1188" s="1">
        <v>1187</v>
      </c>
      <c r="C1188">
        <v>202</v>
      </c>
      <c r="D1188">
        <v>10000</v>
      </c>
      <c r="E1188" t="s">
        <v>339</v>
      </c>
      <c r="F1188" t="s">
        <v>341</v>
      </c>
    </row>
    <row r="1189" spans="1:6" x14ac:dyDescent="0.25">
      <c r="A1189" s="1">
        <v>0</v>
      </c>
      <c r="B1189" s="1">
        <v>1188</v>
      </c>
      <c r="C1189">
        <v>203</v>
      </c>
      <c r="D1189">
        <v>16500</v>
      </c>
      <c r="E1189" t="s">
        <v>339</v>
      </c>
      <c r="F1189" t="s">
        <v>341</v>
      </c>
    </row>
    <row r="1190" spans="1:6" x14ac:dyDescent="0.25">
      <c r="A1190" s="1">
        <v>0</v>
      </c>
      <c r="B1190" s="1">
        <v>1189</v>
      </c>
      <c r="C1190">
        <v>204</v>
      </c>
      <c r="D1190">
        <v>19800</v>
      </c>
      <c r="E1190" t="s">
        <v>339</v>
      </c>
      <c r="F1190" t="s">
        <v>341</v>
      </c>
    </row>
    <row r="1191" spans="1:6" x14ac:dyDescent="0.25">
      <c r="A1191" s="1">
        <v>0</v>
      </c>
      <c r="B1191" s="1">
        <v>1190</v>
      </c>
      <c r="C1191">
        <v>205</v>
      </c>
      <c r="D1191">
        <v>17200</v>
      </c>
      <c r="E1191" t="s">
        <v>339</v>
      </c>
      <c r="F1191" t="s">
        <v>341</v>
      </c>
    </row>
    <row r="1192" spans="1:6" x14ac:dyDescent="0.25">
      <c r="A1192" s="1">
        <v>0</v>
      </c>
      <c r="B1192" s="1">
        <v>1191</v>
      </c>
      <c r="C1192">
        <v>206</v>
      </c>
      <c r="D1192">
        <v>35000</v>
      </c>
      <c r="E1192" t="s">
        <v>339</v>
      </c>
      <c r="F1192" t="s">
        <v>341</v>
      </c>
    </row>
    <row r="1193" spans="1:6" x14ac:dyDescent="0.25">
      <c r="A1193" s="1">
        <v>0</v>
      </c>
      <c r="B1193" s="1">
        <v>1192</v>
      </c>
      <c r="C1193">
        <v>207</v>
      </c>
      <c r="D1193">
        <v>40000</v>
      </c>
      <c r="E1193" t="s">
        <v>339</v>
      </c>
      <c r="F1193" t="s">
        <v>341</v>
      </c>
    </row>
    <row r="1194" spans="1:6" x14ac:dyDescent="0.25">
      <c r="A1194" s="1">
        <v>0</v>
      </c>
      <c r="B1194" s="1">
        <v>1193</v>
      </c>
      <c r="C1194">
        <v>1</v>
      </c>
      <c r="D1194">
        <v>5000</v>
      </c>
      <c r="E1194" t="s">
        <v>339</v>
      </c>
      <c r="F1194" t="s">
        <v>342</v>
      </c>
    </row>
    <row r="1195" spans="1:6" x14ac:dyDescent="0.25">
      <c r="A1195" s="1">
        <v>0</v>
      </c>
      <c r="B1195" s="1">
        <v>1194</v>
      </c>
      <c r="C1195">
        <v>2</v>
      </c>
      <c r="D1195">
        <v>9600</v>
      </c>
      <c r="E1195" t="s">
        <v>339</v>
      </c>
      <c r="F1195" t="s">
        <v>342</v>
      </c>
    </row>
    <row r="1196" spans="1:6" x14ac:dyDescent="0.25">
      <c r="A1196" s="1">
        <v>0</v>
      </c>
      <c r="B1196" s="1">
        <v>1195</v>
      </c>
      <c r="C1196">
        <v>3</v>
      </c>
      <c r="D1196">
        <v>64000</v>
      </c>
      <c r="E1196" t="s">
        <v>339</v>
      </c>
      <c r="F1196" t="s">
        <v>342</v>
      </c>
    </row>
    <row r="1197" spans="1:6" x14ac:dyDescent="0.25">
      <c r="A1197" s="1">
        <v>0</v>
      </c>
      <c r="B1197" s="1">
        <v>1196</v>
      </c>
      <c r="C1197">
        <v>9</v>
      </c>
      <c r="D1197">
        <v>3800</v>
      </c>
      <c r="E1197" t="s">
        <v>339</v>
      </c>
      <c r="F1197" t="s">
        <v>342</v>
      </c>
    </row>
    <row r="1198" spans="1:6" x14ac:dyDescent="0.25">
      <c r="A1198" s="1">
        <v>0</v>
      </c>
      <c r="B1198" s="1">
        <v>1197</v>
      </c>
      <c r="C1198">
        <v>10</v>
      </c>
      <c r="D1198">
        <v>497800</v>
      </c>
      <c r="E1198" t="s">
        <v>339</v>
      </c>
      <c r="F1198" t="s">
        <v>342</v>
      </c>
    </row>
    <row r="1199" spans="1:6" x14ac:dyDescent="0.25">
      <c r="A1199" s="1">
        <v>0</v>
      </c>
      <c r="B1199" s="1">
        <v>1198</v>
      </c>
      <c r="C1199">
        <v>11</v>
      </c>
      <c r="D1199">
        <v>807692</v>
      </c>
      <c r="E1199" t="s">
        <v>339</v>
      </c>
      <c r="F1199" t="s">
        <v>342</v>
      </c>
    </row>
    <row r="1200" spans="1:6" x14ac:dyDescent="0.25">
      <c r="A1200" s="1">
        <v>0</v>
      </c>
      <c r="B1200" s="1">
        <v>1199</v>
      </c>
      <c r="C1200">
        <v>12</v>
      </c>
      <c r="D1200">
        <v>17088</v>
      </c>
      <c r="E1200" t="s">
        <v>339</v>
      </c>
      <c r="F1200" t="s">
        <v>342</v>
      </c>
    </row>
    <row r="1201" spans="1:6" x14ac:dyDescent="0.25">
      <c r="A1201" s="1">
        <v>0</v>
      </c>
      <c r="B1201" s="1">
        <v>1200</v>
      </c>
      <c r="C1201">
        <v>13</v>
      </c>
      <c r="D1201">
        <v>274000</v>
      </c>
      <c r="E1201" t="s">
        <v>339</v>
      </c>
      <c r="F1201" t="s">
        <v>342</v>
      </c>
    </row>
    <row r="1202" spans="1:6" x14ac:dyDescent="0.25">
      <c r="A1202" s="1">
        <v>0</v>
      </c>
      <c r="B1202" s="1">
        <v>1201</v>
      </c>
      <c r="C1202">
        <v>14</v>
      </c>
      <c r="D1202">
        <v>750000</v>
      </c>
      <c r="E1202" t="s">
        <v>339</v>
      </c>
      <c r="F1202" t="s">
        <v>342</v>
      </c>
    </row>
    <row r="1203" spans="1:6" x14ac:dyDescent="0.25">
      <c r="A1203" s="1">
        <v>0</v>
      </c>
      <c r="B1203" s="1">
        <v>1202</v>
      </c>
      <c r="C1203">
        <v>15</v>
      </c>
      <c r="D1203">
        <v>7227</v>
      </c>
      <c r="E1203" t="s">
        <v>339</v>
      </c>
      <c r="F1203" t="s">
        <v>342</v>
      </c>
    </row>
    <row r="1204" spans="1:6" x14ac:dyDescent="0.25">
      <c r="A1204" s="1">
        <v>0</v>
      </c>
      <c r="B1204" s="1">
        <v>1203</v>
      </c>
      <c r="C1204">
        <v>16</v>
      </c>
      <c r="D1204">
        <v>358000</v>
      </c>
      <c r="E1204" t="s">
        <v>339</v>
      </c>
      <c r="F1204" t="s">
        <v>342</v>
      </c>
    </row>
    <row r="1205" spans="1:6" x14ac:dyDescent="0.25">
      <c r="A1205" s="1">
        <v>0</v>
      </c>
      <c r="B1205" s="1">
        <v>1204</v>
      </c>
      <c r="C1205">
        <v>17</v>
      </c>
      <c r="D1205">
        <v>872625</v>
      </c>
      <c r="E1205" t="s">
        <v>339</v>
      </c>
      <c r="F1205" t="s">
        <v>342</v>
      </c>
    </row>
    <row r="1206" spans="1:6" x14ac:dyDescent="0.25">
      <c r="A1206" s="1">
        <v>0</v>
      </c>
      <c r="B1206" s="1">
        <v>1205</v>
      </c>
      <c r="C1206">
        <v>18</v>
      </c>
      <c r="D1206">
        <v>7500</v>
      </c>
      <c r="E1206" t="s">
        <v>339</v>
      </c>
      <c r="F1206" t="s">
        <v>342</v>
      </c>
    </row>
    <row r="1207" spans="1:6" x14ac:dyDescent="0.25">
      <c r="A1207" s="1">
        <v>0</v>
      </c>
      <c r="B1207" s="1">
        <v>1206</v>
      </c>
      <c r="C1207">
        <v>19</v>
      </c>
      <c r="D1207">
        <v>368000</v>
      </c>
      <c r="E1207" t="s">
        <v>339</v>
      </c>
      <c r="F1207" t="s">
        <v>342</v>
      </c>
    </row>
    <row r="1208" spans="1:6" x14ac:dyDescent="0.25">
      <c r="A1208" s="1">
        <v>0</v>
      </c>
      <c r="B1208" s="1">
        <v>1207</v>
      </c>
      <c r="C1208">
        <v>20</v>
      </c>
      <c r="D1208">
        <v>750000</v>
      </c>
      <c r="E1208" t="s">
        <v>339</v>
      </c>
      <c r="F1208" t="s">
        <v>342</v>
      </c>
    </row>
    <row r="1209" spans="1:6" x14ac:dyDescent="0.25">
      <c r="A1209" s="1">
        <v>0</v>
      </c>
      <c r="B1209" s="1">
        <v>1208</v>
      </c>
      <c r="C1209">
        <v>21</v>
      </c>
      <c r="D1209">
        <v>9200</v>
      </c>
      <c r="E1209" t="s">
        <v>339</v>
      </c>
      <c r="F1209" t="s">
        <v>342</v>
      </c>
    </row>
    <row r="1210" spans="1:6" x14ac:dyDescent="0.25">
      <c r="A1210" s="1">
        <v>0</v>
      </c>
      <c r="B1210" s="1">
        <v>1209</v>
      </c>
      <c r="C1210">
        <v>22</v>
      </c>
      <c r="D1210">
        <v>387000</v>
      </c>
      <c r="E1210" t="s">
        <v>339</v>
      </c>
      <c r="F1210" t="s">
        <v>342</v>
      </c>
    </row>
    <row r="1211" spans="1:6" x14ac:dyDescent="0.25">
      <c r="A1211" s="1">
        <v>0</v>
      </c>
      <c r="B1211" s="1">
        <v>1210</v>
      </c>
      <c r="C1211">
        <v>23</v>
      </c>
      <c r="D1211">
        <v>828000</v>
      </c>
      <c r="E1211" t="s">
        <v>339</v>
      </c>
      <c r="F1211" t="s">
        <v>342</v>
      </c>
    </row>
    <row r="1212" spans="1:6" x14ac:dyDescent="0.25">
      <c r="A1212" s="1">
        <v>0</v>
      </c>
      <c r="B1212" s="1">
        <v>1211</v>
      </c>
      <c r="C1212">
        <v>24</v>
      </c>
      <c r="D1212">
        <v>14137</v>
      </c>
      <c r="E1212" t="s">
        <v>339</v>
      </c>
      <c r="F1212" t="s">
        <v>342</v>
      </c>
    </row>
    <row r="1213" spans="1:6" x14ac:dyDescent="0.25">
      <c r="A1213" s="1">
        <v>0</v>
      </c>
      <c r="B1213" s="1">
        <v>1212</v>
      </c>
      <c r="C1213">
        <v>25</v>
      </c>
      <c r="D1213">
        <v>135500</v>
      </c>
      <c r="E1213" t="s">
        <v>339</v>
      </c>
      <c r="F1213" t="s">
        <v>342</v>
      </c>
    </row>
    <row r="1214" spans="1:6" x14ac:dyDescent="0.25">
      <c r="A1214" s="1">
        <v>0</v>
      </c>
      <c r="B1214" s="1">
        <v>1213</v>
      </c>
      <c r="C1214">
        <v>26</v>
      </c>
      <c r="D1214">
        <v>578999</v>
      </c>
      <c r="E1214" t="s">
        <v>339</v>
      </c>
      <c r="F1214" t="s">
        <v>342</v>
      </c>
    </row>
    <row r="1215" spans="1:6" x14ac:dyDescent="0.25">
      <c r="A1215" s="1">
        <v>0</v>
      </c>
      <c r="B1215" s="1">
        <v>1214</v>
      </c>
      <c r="C1215">
        <v>101</v>
      </c>
      <c r="D1215">
        <v>20600</v>
      </c>
      <c r="E1215" t="s">
        <v>339</v>
      </c>
      <c r="F1215" t="s">
        <v>342</v>
      </c>
    </row>
    <row r="1216" spans="1:6" x14ac:dyDescent="0.25">
      <c r="A1216" s="1">
        <v>0</v>
      </c>
      <c r="B1216" s="1">
        <v>1215</v>
      </c>
      <c r="C1216">
        <v>102</v>
      </c>
      <c r="D1216">
        <v>15000</v>
      </c>
      <c r="E1216" t="s">
        <v>339</v>
      </c>
      <c r="F1216" t="s">
        <v>342</v>
      </c>
    </row>
    <row r="1217" spans="1:6" x14ac:dyDescent="0.25">
      <c r="A1217" s="1">
        <v>0</v>
      </c>
      <c r="B1217" s="1">
        <v>1216</v>
      </c>
      <c r="C1217">
        <v>103</v>
      </c>
      <c r="D1217">
        <v>165000</v>
      </c>
      <c r="E1217" t="s">
        <v>339</v>
      </c>
      <c r="F1217" t="s">
        <v>342</v>
      </c>
    </row>
    <row r="1218" spans="1:6" x14ac:dyDescent="0.25">
      <c r="A1218" s="1">
        <v>0</v>
      </c>
      <c r="B1218" s="1">
        <v>1217</v>
      </c>
      <c r="C1218">
        <v>200</v>
      </c>
      <c r="D1218">
        <v>14400</v>
      </c>
      <c r="E1218" t="s">
        <v>339</v>
      </c>
      <c r="F1218" t="s">
        <v>342</v>
      </c>
    </row>
    <row r="1219" spans="1:6" x14ac:dyDescent="0.25">
      <c r="A1219" s="1">
        <v>0</v>
      </c>
      <c r="B1219" s="1">
        <v>1218</v>
      </c>
      <c r="C1219">
        <v>201</v>
      </c>
      <c r="D1219">
        <v>16500</v>
      </c>
      <c r="E1219" t="s">
        <v>339</v>
      </c>
      <c r="F1219" t="s">
        <v>342</v>
      </c>
    </row>
    <row r="1220" spans="1:6" x14ac:dyDescent="0.25">
      <c r="A1220" s="1">
        <v>0</v>
      </c>
      <c r="B1220" s="1">
        <v>1219</v>
      </c>
      <c r="C1220">
        <v>202</v>
      </c>
      <c r="D1220">
        <v>10200</v>
      </c>
      <c r="E1220" t="s">
        <v>339</v>
      </c>
      <c r="F1220" t="s">
        <v>342</v>
      </c>
    </row>
    <row r="1221" spans="1:6" x14ac:dyDescent="0.25">
      <c r="A1221" s="1">
        <v>0</v>
      </c>
      <c r="B1221" s="1">
        <v>1220</v>
      </c>
      <c r="C1221">
        <v>203</v>
      </c>
      <c r="D1221">
        <v>14500</v>
      </c>
      <c r="E1221" t="s">
        <v>339</v>
      </c>
      <c r="F1221" t="s">
        <v>342</v>
      </c>
    </row>
    <row r="1222" spans="1:6" x14ac:dyDescent="0.25">
      <c r="A1222" s="1">
        <v>0</v>
      </c>
      <c r="B1222" s="1">
        <v>1221</v>
      </c>
      <c r="C1222">
        <v>204</v>
      </c>
      <c r="D1222">
        <v>5000</v>
      </c>
      <c r="E1222" t="s">
        <v>339</v>
      </c>
      <c r="F1222" t="s">
        <v>342</v>
      </c>
    </row>
    <row r="1223" spans="1:6" x14ac:dyDescent="0.25">
      <c r="A1223" s="1">
        <v>0</v>
      </c>
      <c r="B1223" s="1">
        <v>1222</v>
      </c>
      <c r="C1223">
        <v>205</v>
      </c>
      <c r="D1223">
        <v>9500</v>
      </c>
      <c r="E1223" t="s">
        <v>339</v>
      </c>
      <c r="F1223" t="s">
        <v>342</v>
      </c>
    </row>
    <row r="1224" spans="1:6" x14ac:dyDescent="0.25">
      <c r="A1224" s="1">
        <v>0</v>
      </c>
      <c r="B1224" s="1">
        <v>1223</v>
      </c>
      <c r="C1224">
        <v>206</v>
      </c>
      <c r="D1224">
        <v>34400</v>
      </c>
      <c r="E1224" t="s">
        <v>339</v>
      </c>
      <c r="F1224" t="s">
        <v>342</v>
      </c>
    </row>
    <row r="1225" spans="1:6" x14ac:dyDescent="0.25">
      <c r="A1225" s="1">
        <v>0</v>
      </c>
      <c r="B1225" s="1">
        <v>1224</v>
      </c>
      <c r="C1225">
        <v>207</v>
      </c>
      <c r="D1225">
        <v>39400</v>
      </c>
      <c r="E1225" t="s">
        <v>339</v>
      </c>
      <c r="F1225" t="s">
        <v>342</v>
      </c>
    </row>
    <row r="1226" spans="1:6" x14ac:dyDescent="0.25">
      <c r="A1226" s="1">
        <v>0</v>
      </c>
      <c r="B1226" s="1">
        <v>1225</v>
      </c>
      <c r="C1226">
        <v>1</v>
      </c>
      <c r="D1226">
        <v>21000</v>
      </c>
      <c r="E1226" t="s">
        <v>343</v>
      </c>
      <c r="F1226" t="s">
        <v>344</v>
      </c>
    </row>
    <row r="1227" spans="1:6" x14ac:dyDescent="0.25">
      <c r="A1227" s="1">
        <v>0</v>
      </c>
      <c r="B1227" s="1">
        <v>1226</v>
      </c>
      <c r="C1227">
        <v>2</v>
      </c>
      <c r="D1227">
        <v>10500</v>
      </c>
      <c r="E1227" t="s">
        <v>343</v>
      </c>
      <c r="F1227" t="s">
        <v>344</v>
      </c>
    </row>
    <row r="1228" spans="1:6" x14ac:dyDescent="0.25">
      <c r="A1228" s="1">
        <v>0</v>
      </c>
      <c r="B1228" s="1">
        <v>1227</v>
      </c>
      <c r="C1228">
        <v>3</v>
      </c>
      <c r="D1228">
        <v>63500</v>
      </c>
      <c r="E1228" t="s">
        <v>343</v>
      </c>
      <c r="F1228" t="s">
        <v>344</v>
      </c>
    </row>
    <row r="1229" spans="1:6" x14ac:dyDescent="0.25">
      <c r="A1229" s="1">
        <v>0</v>
      </c>
      <c r="B1229" s="1">
        <v>1228</v>
      </c>
      <c r="C1229">
        <v>9</v>
      </c>
      <c r="D1229">
        <v>3200</v>
      </c>
      <c r="E1229" t="s">
        <v>343</v>
      </c>
      <c r="F1229" t="s">
        <v>344</v>
      </c>
    </row>
    <row r="1230" spans="1:6" x14ac:dyDescent="0.25">
      <c r="A1230" s="1">
        <v>0</v>
      </c>
      <c r="B1230" s="1">
        <v>1229</v>
      </c>
      <c r="C1230">
        <v>10</v>
      </c>
      <c r="D1230">
        <v>520000</v>
      </c>
      <c r="E1230" t="s">
        <v>343</v>
      </c>
      <c r="F1230" t="s">
        <v>344</v>
      </c>
    </row>
    <row r="1231" spans="1:6" x14ac:dyDescent="0.25">
      <c r="A1231" s="1">
        <v>0</v>
      </c>
      <c r="B1231" s="1">
        <v>1230</v>
      </c>
      <c r="C1231">
        <v>11</v>
      </c>
      <c r="D1231">
        <v>807692</v>
      </c>
      <c r="E1231" t="s">
        <v>343</v>
      </c>
      <c r="F1231" t="s">
        <v>344</v>
      </c>
    </row>
    <row r="1232" spans="1:6" x14ac:dyDescent="0.25">
      <c r="A1232" s="1">
        <v>0</v>
      </c>
      <c r="B1232" s="1">
        <v>1231</v>
      </c>
      <c r="C1232">
        <v>12</v>
      </c>
      <c r="D1232">
        <v>17000</v>
      </c>
      <c r="E1232" t="s">
        <v>343</v>
      </c>
      <c r="F1232" t="s">
        <v>344</v>
      </c>
    </row>
    <row r="1233" spans="1:6" x14ac:dyDescent="0.25">
      <c r="A1233" s="1">
        <v>0</v>
      </c>
      <c r="B1233" s="1">
        <v>1232</v>
      </c>
      <c r="C1233">
        <v>13</v>
      </c>
      <c r="D1233">
        <v>247000</v>
      </c>
      <c r="E1233" t="s">
        <v>343</v>
      </c>
      <c r="F1233" t="s">
        <v>344</v>
      </c>
    </row>
    <row r="1234" spans="1:6" x14ac:dyDescent="0.25">
      <c r="A1234" s="1">
        <v>0</v>
      </c>
      <c r="B1234" s="1">
        <v>1233</v>
      </c>
      <c r="C1234">
        <v>14</v>
      </c>
      <c r="D1234">
        <v>750000</v>
      </c>
      <c r="E1234" t="s">
        <v>343</v>
      </c>
      <c r="F1234" t="s">
        <v>344</v>
      </c>
    </row>
    <row r="1235" spans="1:6" x14ac:dyDescent="0.25">
      <c r="A1235" s="1">
        <v>0</v>
      </c>
      <c r="B1235" s="1">
        <v>1234</v>
      </c>
      <c r="C1235">
        <v>15</v>
      </c>
      <c r="D1235">
        <v>6300</v>
      </c>
      <c r="E1235" t="s">
        <v>343</v>
      </c>
      <c r="F1235" t="s">
        <v>344</v>
      </c>
    </row>
    <row r="1236" spans="1:6" x14ac:dyDescent="0.25">
      <c r="A1236" s="1">
        <v>0</v>
      </c>
      <c r="B1236" s="1">
        <v>1235</v>
      </c>
      <c r="C1236">
        <v>16</v>
      </c>
      <c r="D1236">
        <v>269000</v>
      </c>
      <c r="E1236" t="s">
        <v>343</v>
      </c>
      <c r="F1236" t="s">
        <v>344</v>
      </c>
    </row>
    <row r="1237" spans="1:6" x14ac:dyDescent="0.25">
      <c r="A1237" s="1">
        <v>0</v>
      </c>
      <c r="B1237" s="1">
        <v>1236</v>
      </c>
      <c r="C1237">
        <v>17</v>
      </c>
      <c r="D1237">
        <v>872625</v>
      </c>
      <c r="E1237" t="s">
        <v>343</v>
      </c>
      <c r="F1237" t="s">
        <v>344</v>
      </c>
    </row>
    <row r="1238" spans="1:6" x14ac:dyDescent="0.25">
      <c r="A1238" s="1">
        <v>0</v>
      </c>
      <c r="B1238" s="1">
        <v>1237</v>
      </c>
      <c r="C1238">
        <v>18</v>
      </c>
      <c r="D1238">
        <v>6399</v>
      </c>
      <c r="E1238" t="s">
        <v>343</v>
      </c>
      <c r="F1238" t="s">
        <v>344</v>
      </c>
    </row>
    <row r="1239" spans="1:6" x14ac:dyDescent="0.25">
      <c r="A1239" s="1">
        <v>0</v>
      </c>
      <c r="B1239" s="1">
        <v>1238</v>
      </c>
      <c r="C1239">
        <v>19</v>
      </c>
      <c r="D1239">
        <v>387999</v>
      </c>
      <c r="E1239" t="s">
        <v>343</v>
      </c>
      <c r="F1239" t="s">
        <v>344</v>
      </c>
    </row>
    <row r="1240" spans="1:6" x14ac:dyDescent="0.25">
      <c r="A1240" s="1">
        <v>0</v>
      </c>
      <c r="B1240" s="1">
        <v>1239</v>
      </c>
      <c r="C1240">
        <v>20</v>
      </c>
      <c r="D1240">
        <v>750000</v>
      </c>
      <c r="E1240" t="s">
        <v>343</v>
      </c>
      <c r="F1240" t="s">
        <v>344</v>
      </c>
    </row>
    <row r="1241" spans="1:6" x14ac:dyDescent="0.25">
      <c r="A1241" s="1">
        <v>0</v>
      </c>
      <c r="B1241" s="1">
        <v>1240</v>
      </c>
      <c r="C1241">
        <v>21</v>
      </c>
      <c r="D1241">
        <v>7400</v>
      </c>
      <c r="E1241" t="s">
        <v>343</v>
      </c>
      <c r="F1241" t="s">
        <v>344</v>
      </c>
    </row>
    <row r="1242" spans="1:6" x14ac:dyDescent="0.25">
      <c r="A1242" s="1">
        <v>0</v>
      </c>
      <c r="B1242" s="1">
        <v>1241</v>
      </c>
      <c r="C1242">
        <v>22</v>
      </c>
      <c r="D1242">
        <v>348000</v>
      </c>
      <c r="E1242" t="s">
        <v>343</v>
      </c>
      <c r="F1242" t="s">
        <v>344</v>
      </c>
    </row>
    <row r="1243" spans="1:6" x14ac:dyDescent="0.25">
      <c r="A1243" s="1">
        <v>0</v>
      </c>
      <c r="B1243" s="1">
        <v>1242</v>
      </c>
      <c r="C1243">
        <v>23</v>
      </c>
      <c r="D1243">
        <v>828000</v>
      </c>
      <c r="E1243" t="s">
        <v>343</v>
      </c>
      <c r="F1243" t="s">
        <v>344</v>
      </c>
    </row>
    <row r="1244" spans="1:6" x14ac:dyDescent="0.25">
      <c r="A1244" s="1">
        <v>0</v>
      </c>
      <c r="B1244" s="1">
        <v>1243</v>
      </c>
      <c r="C1244">
        <v>24</v>
      </c>
      <c r="D1244">
        <v>10500</v>
      </c>
      <c r="E1244" t="s">
        <v>343</v>
      </c>
      <c r="F1244" t="s">
        <v>344</v>
      </c>
    </row>
    <row r="1245" spans="1:6" x14ac:dyDescent="0.25">
      <c r="A1245" s="1">
        <v>0</v>
      </c>
      <c r="B1245" s="1">
        <v>1244</v>
      </c>
      <c r="C1245">
        <v>25</v>
      </c>
      <c r="D1245">
        <v>97999</v>
      </c>
      <c r="E1245" t="s">
        <v>343</v>
      </c>
      <c r="F1245" t="s">
        <v>344</v>
      </c>
    </row>
    <row r="1246" spans="1:6" x14ac:dyDescent="0.25">
      <c r="A1246" s="1">
        <v>0</v>
      </c>
      <c r="B1246" s="1">
        <v>1245</v>
      </c>
      <c r="C1246">
        <v>26</v>
      </c>
      <c r="D1246">
        <v>578999</v>
      </c>
      <c r="E1246" t="s">
        <v>343</v>
      </c>
      <c r="F1246" t="s">
        <v>344</v>
      </c>
    </row>
    <row r="1247" spans="1:6" x14ac:dyDescent="0.25">
      <c r="A1247" s="1">
        <v>0</v>
      </c>
      <c r="B1247" s="1">
        <v>1246</v>
      </c>
      <c r="C1247">
        <v>101</v>
      </c>
      <c r="D1247">
        <v>19800</v>
      </c>
      <c r="E1247" t="s">
        <v>343</v>
      </c>
      <c r="F1247" t="s">
        <v>344</v>
      </c>
    </row>
    <row r="1248" spans="1:6" x14ac:dyDescent="0.25">
      <c r="A1248" s="1">
        <v>0</v>
      </c>
      <c r="B1248" s="1">
        <v>1247</v>
      </c>
      <c r="C1248">
        <v>102</v>
      </c>
      <c r="D1248">
        <v>18000</v>
      </c>
      <c r="E1248" t="s">
        <v>343</v>
      </c>
      <c r="F1248" t="s">
        <v>344</v>
      </c>
    </row>
    <row r="1249" spans="1:6" x14ac:dyDescent="0.25">
      <c r="A1249" s="1">
        <v>0</v>
      </c>
      <c r="B1249" s="1">
        <v>1248</v>
      </c>
      <c r="C1249">
        <v>103</v>
      </c>
      <c r="D1249">
        <v>138500</v>
      </c>
      <c r="E1249" t="s">
        <v>343</v>
      </c>
      <c r="F1249" t="s">
        <v>344</v>
      </c>
    </row>
    <row r="1250" spans="1:6" x14ac:dyDescent="0.25">
      <c r="A1250" s="1">
        <v>0</v>
      </c>
      <c r="B1250" s="1">
        <v>1249</v>
      </c>
      <c r="C1250">
        <v>200</v>
      </c>
      <c r="D1250">
        <v>14000</v>
      </c>
      <c r="E1250" t="s">
        <v>343</v>
      </c>
      <c r="F1250" t="s">
        <v>344</v>
      </c>
    </row>
    <row r="1251" spans="1:6" x14ac:dyDescent="0.25">
      <c r="A1251" s="1">
        <v>0</v>
      </c>
      <c r="B1251" s="1">
        <v>1250</v>
      </c>
      <c r="C1251">
        <v>201</v>
      </c>
      <c r="D1251">
        <v>9900</v>
      </c>
      <c r="E1251" t="s">
        <v>343</v>
      </c>
      <c r="F1251" t="s">
        <v>344</v>
      </c>
    </row>
    <row r="1252" spans="1:6" x14ac:dyDescent="0.25">
      <c r="A1252" s="1">
        <v>0</v>
      </c>
      <c r="B1252" s="1">
        <v>1251</v>
      </c>
      <c r="C1252">
        <v>202</v>
      </c>
      <c r="D1252">
        <v>9700</v>
      </c>
      <c r="E1252" t="s">
        <v>343</v>
      </c>
      <c r="F1252" t="s">
        <v>344</v>
      </c>
    </row>
    <row r="1253" spans="1:6" x14ac:dyDescent="0.25">
      <c r="A1253" s="1">
        <v>0</v>
      </c>
      <c r="B1253" s="1">
        <v>1252</v>
      </c>
      <c r="C1253">
        <v>203</v>
      </c>
      <c r="D1253">
        <v>13300</v>
      </c>
      <c r="E1253" t="s">
        <v>343</v>
      </c>
      <c r="F1253" t="s">
        <v>344</v>
      </c>
    </row>
    <row r="1254" spans="1:6" x14ac:dyDescent="0.25">
      <c r="A1254" s="1">
        <v>0</v>
      </c>
      <c r="B1254" s="1">
        <v>1253</v>
      </c>
      <c r="C1254">
        <v>204</v>
      </c>
      <c r="D1254">
        <v>19400</v>
      </c>
      <c r="E1254" t="s">
        <v>343</v>
      </c>
      <c r="F1254" t="s">
        <v>344</v>
      </c>
    </row>
    <row r="1255" spans="1:6" x14ac:dyDescent="0.25">
      <c r="A1255" s="1">
        <v>0</v>
      </c>
      <c r="B1255" s="1">
        <v>1254</v>
      </c>
      <c r="C1255">
        <v>205</v>
      </c>
      <c r="D1255">
        <v>24200</v>
      </c>
      <c r="E1255" t="s">
        <v>343</v>
      </c>
      <c r="F1255" t="s">
        <v>344</v>
      </c>
    </row>
    <row r="1256" spans="1:6" x14ac:dyDescent="0.25">
      <c r="A1256" s="1">
        <v>0</v>
      </c>
      <c r="B1256" s="1">
        <v>1255</v>
      </c>
      <c r="C1256">
        <v>206</v>
      </c>
      <c r="D1256">
        <v>29800</v>
      </c>
      <c r="E1256" t="s">
        <v>343</v>
      </c>
      <c r="F1256" t="s">
        <v>344</v>
      </c>
    </row>
    <row r="1257" spans="1:6" x14ac:dyDescent="0.25">
      <c r="A1257" s="1">
        <v>0</v>
      </c>
      <c r="B1257" s="1">
        <v>1256</v>
      </c>
      <c r="C1257">
        <v>207</v>
      </c>
      <c r="D1257">
        <v>37400</v>
      </c>
      <c r="E1257" t="s">
        <v>343</v>
      </c>
      <c r="F1257" t="s">
        <v>344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B5"/>
  <sheetViews>
    <sheetView workbookViewId="0">
      <selection activeCell="B1" sqref="B1"/>
    </sheetView>
  </sheetViews>
  <sheetFormatPr baseColWidth="10" defaultRowHeight="15" x14ac:dyDescent="0.25"/>
  <cols>
    <col min="1" max="2" width="12" customWidth="1"/>
  </cols>
  <sheetData>
    <row r="1" spans="1:2" x14ac:dyDescent="0.25">
      <c r="A1" t="s">
        <v>26</v>
      </c>
      <c r="B1" t="s">
        <v>224</v>
      </c>
    </row>
    <row r="2" spans="1:2" x14ac:dyDescent="0.25">
      <c r="A2">
        <v>0</v>
      </c>
      <c r="B2" s="13">
        <v>0</v>
      </c>
    </row>
    <row r="3" spans="1:2" x14ac:dyDescent="0.25">
      <c r="A3">
        <v>12</v>
      </c>
      <c r="B3" s="13">
        <v>3.7499999999999999E-2</v>
      </c>
    </row>
    <row r="4" spans="1:2" x14ac:dyDescent="0.25">
      <c r="A4">
        <v>24</v>
      </c>
      <c r="B4" s="13">
        <v>7.4999999999999997E-2</v>
      </c>
    </row>
    <row r="5" spans="1:2" x14ac:dyDescent="0.25">
      <c r="A5">
        <v>48</v>
      </c>
      <c r="B5" s="13">
        <v>0.15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B2"/>
  <sheetViews>
    <sheetView workbookViewId="0">
      <selection activeCell="E3" sqref="E3"/>
    </sheetView>
  </sheetViews>
  <sheetFormatPr baseColWidth="10" defaultRowHeight="15" x14ac:dyDescent="0.25"/>
  <cols>
    <col min="1" max="4" width="12" customWidth="1"/>
  </cols>
  <sheetData>
    <row r="1" spans="1:2" x14ac:dyDescent="0.25">
      <c r="A1" t="s">
        <v>225</v>
      </c>
      <c r="B1" t="s">
        <v>27</v>
      </c>
    </row>
    <row r="2" spans="1:2" x14ac:dyDescent="0.25">
      <c r="A2">
        <v>1</v>
      </c>
      <c r="B2" s="1">
        <v>7.4999999999999997E-3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4"/>
  <sheetViews>
    <sheetView workbookViewId="0">
      <selection activeCell="B1" sqref="B1"/>
    </sheetView>
  </sheetViews>
  <sheetFormatPr baseColWidth="10" defaultRowHeight="15" x14ac:dyDescent="0.25"/>
  <cols>
    <col min="1" max="4" width="12" customWidth="1"/>
  </cols>
  <sheetData>
    <row r="1" spans="1:2" x14ac:dyDescent="0.25">
      <c r="A1" t="s">
        <v>226</v>
      </c>
      <c r="B1" t="s">
        <v>227</v>
      </c>
    </row>
    <row r="2" spans="1:2" x14ac:dyDescent="0.25">
      <c r="A2" t="s">
        <v>12</v>
      </c>
      <c r="B2" s="1">
        <v>1</v>
      </c>
    </row>
    <row r="3" spans="1:2" x14ac:dyDescent="0.25">
      <c r="A3" t="s">
        <v>13</v>
      </c>
      <c r="B3" s="1">
        <v>100</v>
      </c>
    </row>
    <row r="4" spans="1:2" x14ac:dyDescent="0.25">
      <c r="A4" t="s">
        <v>7</v>
      </c>
      <c r="B4" s="1">
        <v>10000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C169"/>
  <sheetViews>
    <sheetView workbookViewId="0">
      <selection activeCell="F3" sqref="F3"/>
    </sheetView>
  </sheetViews>
  <sheetFormatPr baseColWidth="10" defaultRowHeight="15" x14ac:dyDescent="0.25"/>
  <cols>
    <col min="1" max="1" width="4.42578125" customWidth="1"/>
    <col min="2" max="2" width="30.5703125" customWidth="1"/>
    <col min="3" max="4" width="12" customWidth="1"/>
  </cols>
  <sheetData>
    <row r="1" spans="1:3" x14ac:dyDescent="0.25">
      <c r="A1" t="s">
        <v>231</v>
      </c>
      <c r="B1" t="s">
        <v>228</v>
      </c>
      <c r="C1" t="s">
        <v>229</v>
      </c>
    </row>
    <row r="2" spans="1:3" x14ac:dyDescent="0.25">
      <c r="A2" s="1">
        <v>1</v>
      </c>
      <c r="B2" t="s">
        <v>138</v>
      </c>
      <c r="C2" s="1">
        <v>3</v>
      </c>
    </row>
    <row r="3" spans="1:3" x14ac:dyDescent="0.25">
      <c r="A3" s="1">
        <v>100</v>
      </c>
      <c r="B3" t="s">
        <v>345</v>
      </c>
      <c r="C3" s="1">
        <v>101</v>
      </c>
    </row>
    <row r="4" spans="1:3" x14ac:dyDescent="0.25">
      <c r="A4" s="1">
        <v>200</v>
      </c>
      <c r="B4" t="s">
        <v>303</v>
      </c>
      <c r="C4" s="1">
        <v>200</v>
      </c>
    </row>
    <row r="5" spans="1:3" x14ac:dyDescent="0.25">
      <c r="A5" s="1">
        <v>201</v>
      </c>
      <c r="B5" t="s">
        <v>304</v>
      </c>
      <c r="C5" s="1">
        <v>200</v>
      </c>
    </row>
    <row r="6" spans="1:3" x14ac:dyDescent="0.25">
      <c r="A6" s="1">
        <v>202</v>
      </c>
      <c r="B6" t="s">
        <v>305</v>
      </c>
      <c r="C6" s="1">
        <v>200</v>
      </c>
    </row>
    <row r="7" spans="1:3" x14ac:dyDescent="0.25">
      <c r="A7" s="1">
        <v>203</v>
      </c>
      <c r="B7" t="s">
        <v>306</v>
      </c>
      <c r="C7" s="1">
        <v>200</v>
      </c>
    </row>
    <row r="8" spans="1:3" x14ac:dyDescent="0.25">
      <c r="A8" s="1">
        <v>204</v>
      </c>
      <c r="B8" t="s">
        <v>307</v>
      </c>
      <c r="C8" s="1">
        <v>200</v>
      </c>
    </row>
    <row r="9" spans="1:3" x14ac:dyDescent="0.25">
      <c r="A9" s="1">
        <v>205</v>
      </c>
      <c r="B9" t="s">
        <v>308</v>
      </c>
      <c r="C9" s="1">
        <v>200</v>
      </c>
    </row>
    <row r="10" spans="1:3" x14ac:dyDescent="0.25">
      <c r="A10" s="1">
        <v>206</v>
      </c>
      <c r="B10" t="s">
        <v>309</v>
      </c>
      <c r="C10" s="1">
        <v>200</v>
      </c>
    </row>
    <row r="11" spans="1:3" x14ac:dyDescent="0.25">
      <c r="A11" s="1">
        <v>207</v>
      </c>
      <c r="B11" t="s">
        <v>50</v>
      </c>
      <c r="C11" s="1">
        <v>200</v>
      </c>
    </row>
    <row r="12" spans="1:3" x14ac:dyDescent="0.25">
      <c r="A12" s="1">
        <v>208</v>
      </c>
      <c r="B12" t="s">
        <v>49</v>
      </c>
      <c r="C12" s="1">
        <v>200</v>
      </c>
    </row>
    <row r="13" spans="1:3" x14ac:dyDescent="0.25">
      <c r="A13" s="1">
        <v>800</v>
      </c>
      <c r="B13" t="s">
        <v>38</v>
      </c>
      <c r="C13" s="1">
        <v>101</v>
      </c>
    </row>
    <row r="14" spans="1:3" x14ac:dyDescent="0.25">
      <c r="A14" s="1">
        <v>801</v>
      </c>
      <c r="B14" t="s">
        <v>39</v>
      </c>
      <c r="C14" s="1">
        <v>101</v>
      </c>
    </row>
    <row r="15" spans="1:3" x14ac:dyDescent="0.25">
      <c r="A15" s="1">
        <v>802</v>
      </c>
      <c r="B15" t="s">
        <v>141</v>
      </c>
      <c r="C15" s="1">
        <v>103</v>
      </c>
    </row>
    <row r="16" spans="1:3" x14ac:dyDescent="0.25">
      <c r="A16" s="1"/>
      <c r="C16" s="1"/>
    </row>
    <row r="17" spans="1:3" x14ac:dyDescent="0.25">
      <c r="A17" s="1"/>
      <c r="C17" s="1"/>
    </row>
    <row r="18" spans="1:3" x14ac:dyDescent="0.25">
      <c r="A18" s="1"/>
      <c r="C18" s="1"/>
    </row>
    <row r="19" spans="1:3" x14ac:dyDescent="0.25">
      <c r="A19" s="1"/>
      <c r="C19" s="1"/>
    </row>
    <row r="20" spans="1:3" x14ac:dyDescent="0.25">
      <c r="A20" s="1"/>
      <c r="C20" s="1"/>
    </row>
    <row r="21" spans="1:3" x14ac:dyDescent="0.25">
      <c r="A21" s="1"/>
      <c r="C21" s="1"/>
    </row>
    <row r="22" spans="1:3" x14ac:dyDescent="0.25">
      <c r="A22" s="1"/>
      <c r="C22" s="1"/>
    </row>
    <row r="23" spans="1:3" ht="15.75" customHeight="1" x14ac:dyDescent="0.25">
      <c r="A23" s="1"/>
      <c r="C23" s="1"/>
    </row>
    <row r="24" spans="1:3" x14ac:dyDescent="0.25">
      <c r="A24" s="1"/>
    </row>
    <row r="25" spans="1:3" x14ac:dyDescent="0.25">
      <c r="A25" s="1"/>
    </row>
    <row r="26" spans="1:3" x14ac:dyDescent="0.25">
      <c r="A26" s="1"/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C194"/>
  <sheetViews>
    <sheetView workbookViewId="0"/>
  </sheetViews>
  <sheetFormatPr baseColWidth="10" defaultRowHeight="15" x14ac:dyDescent="0.25"/>
  <cols>
    <col min="1" max="4" width="12" customWidth="1"/>
  </cols>
  <sheetData>
    <row r="1" spans="1:3" x14ac:dyDescent="0.25">
      <c r="A1" t="s">
        <v>230</v>
      </c>
      <c r="B1" t="s">
        <v>234</v>
      </c>
      <c r="C1" t="s">
        <v>233</v>
      </c>
    </row>
    <row r="2" spans="1:3" x14ac:dyDescent="0.25">
      <c r="A2" s="1">
        <v>800</v>
      </c>
      <c r="B2" s="1">
        <v>4</v>
      </c>
      <c r="C2" s="1">
        <v>2</v>
      </c>
    </row>
    <row r="3" spans="1:3" x14ac:dyDescent="0.25">
      <c r="A3" s="1">
        <v>800</v>
      </c>
      <c r="B3" s="1">
        <v>9</v>
      </c>
      <c r="C3" s="1">
        <v>1</v>
      </c>
    </row>
    <row r="4" spans="1:3" x14ac:dyDescent="0.25">
      <c r="A4" s="1">
        <v>801</v>
      </c>
      <c r="B4" s="1">
        <v>104</v>
      </c>
      <c r="C4" s="1">
        <v>1</v>
      </c>
    </row>
    <row r="5" spans="1:3" x14ac:dyDescent="0.25">
      <c r="A5" s="1">
        <v>801</v>
      </c>
      <c r="B5" s="1">
        <v>106</v>
      </c>
      <c r="C5" s="1">
        <v>1</v>
      </c>
    </row>
    <row r="6" spans="1:3" x14ac:dyDescent="0.25">
      <c r="A6" s="1">
        <v>802</v>
      </c>
      <c r="B6" s="1">
        <v>104</v>
      </c>
      <c r="C6" s="1">
        <v>2</v>
      </c>
    </row>
    <row r="7" spans="1:3" x14ac:dyDescent="0.25">
      <c r="A7" s="1">
        <v>1</v>
      </c>
      <c r="B7" s="1">
        <v>27</v>
      </c>
      <c r="C7" s="1">
        <v>1</v>
      </c>
    </row>
    <row r="8" spans="1:3" x14ac:dyDescent="0.25">
      <c r="A8" s="1">
        <v>1</v>
      </c>
      <c r="B8" s="1">
        <v>12</v>
      </c>
      <c r="C8" s="1">
        <v>1</v>
      </c>
    </row>
    <row r="9" spans="1:3" x14ac:dyDescent="0.25">
      <c r="A9" s="1">
        <v>1</v>
      </c>
      <c r="B9" s="1">
        <v>18</v>
      </c>
      <c r="C9" s="1">
        <v>1</v>
      </c>
    </row>
    <row r="10" spans="1:3" x14ac:dyDescent="0.25">
      <c r="A10" s="1">
        <v>1</v>
      </c>
      <c r="B10" s="1">
        <v>24</v>
      </c>
      <c r="C10" s="1">
        <v>1</v>
      </c>
    </row>
    <row r="11" spans="1:3" x14ac:dyDescent="0.25">
      <c r="A11" s="1">
        <v>802</v>
      </c>
      <c r="B11" s="1">
        <v>103</v>
      </c>
      <c r="C11" s="1">
        <v>2</v>
      </c>
    </row>
    <row r="12" spans="1:3" x14ac:dyDescent="0.25">
      <c r="A12" s="1">
        <v>802</v>
      </c>
      <c r="B12" s="1">
        <v>22</v>
      </c>
      <c r="C12" s="1">
        <v>2</v>
      </c>
    </row>
    <row r="13" spans="1:3" x14ac:dyDescent="0.25">
      <c r="A13" s="1">
        <v>802</v>
      </c>
      <c r="B13" s="1">
        <v>25</v>
      </c>
      <c r="C13" s="1">
        <v>1</v>
      </c>
    </row>
    <row r="14" spans="1:3" x14ac:dyDescent="0.25">
      <c r="A14" s="1">
        <v>100</v>
      </c>
      <c r="B14" s="1">
        <v>103</v>
      </c>
      <c r="C14" s="1">
        <v>2</v>
      </c>
    </row>
    <row r="15" spans="1:3" x14ac:dyDescent="0.25">
      <c r="A15" s="1">
        <v>100</v>
      </c>
      <c r="B15" s="1">
        <v>104</v>
      </c>
      <c r="C15" s="1">
        <v>4</v>
      </c>
    </row>
    <row r="16" spans="1:3" x14ac:dyDescent="0.25">
      <c r="A16" s="1">
        <v>100</v>
      </c>
      <c r="B16" s="1">
        <v>27</v>
      </c>
      <c r="C16" s="1">
        <v>1</v>
      </c>
    </row>
    <row r="17" spans="1:3" x14ac:dyDescent="0.25">
      <c r="A17" s="1">
        <v>100</v>
      </c>
      <c r="B17" s="1">
        <v>29</v>
      </c>
      <c r="C17" s="1">
        <v>4</v>
      </c>
    </row>
    <row r="18" spans="1:3" x14ac:dyDescent="0.25">
      <c r="A18" s="1">
        <v>100</v>
      </c>
      <c r="B18" s="1">
        <v>128</v>
      </c>
      <c r="C18" s="1">
        <v>4</v>
      </c>
    </row>
    <row r="19" spans="1:3" x14ac:dyDescent="0.25">
      <c r="A19" s="1">
        <v>200</v>
      </c>
      <c r="B19" s="1">
        <v>102</v>
      </c>
      <c r="C19" s="1">
        <v>8</v>
      </c>
    </row>
    <row r="20" spans="1:3" x14ac:dyDescent="0.25">
      <c r="A20" s="1">
        <v>201</v>
      </c>
      <c r="B20" s="1">
        <v>10</v>
      </c>
      <c r="C20" s="1">
        <v>1</v>
      </c>
    </row>
    <row r="21" spans="1:3" x14ac:dyDescent="0.25">
      <c r="A21" s="1">
        <v>201</v>
      </c>
      <c r="B21" s="1">
        <v>107</v>
      </c>
      <c r="C21" s="1">
        <v>1</v>
      </c>
    </row>
    <row r="22" spans="1:3" x14ac:dyDescent="0.25">
      <c r="A22" s="1">
        <v>202</v>
      </c>
      <c r="B22" s="1">
        <v>22</v>
      </c>
      <c r="C22" s="1">
        <v>1</v>
      </c>
    </row>
    <row r="23" spans="1:3" x14ac:dyDescent="0.25">
      <c r="A23" s="1">
        <v>202</v>
      </c>
      <c r="B23" s="1">
        <v>106</v>
      </c>
      <c r="C23" s="1">
        <v>1</v>
      </c>
    </row>
    <row r="24" spans="1:3" x14ac:dyDescent="0.25">
      <c r="A24" s="1">
        <v>203</v>
      </c>
      <c r="B24" s="1">
        <v>19</v>
      </c>
      <c r="C24" s="1">
        <v>1</v>
      </c>
    </row>
    <row r="25" spans="1:3" x14ac:dyDescent="0.25">
      <c r="A25" s="1">
        <v>203</v>
      </c>
      <c r="B25" s="1">
        <v>106</v>
      </c>
      <c r="C25" s="1">
        <v>1</v>
      </c>
    </row>
    <row r="26" spans="1:3" x14ac:dyDescent="0.25">
      <c r="A26" s="1">
        <v>204</v>
      </c>
      <c r="B26" s="1">
        <v>25</v>
      </c>
      <c r="C26" s="1">
        <v>3</v>
      </c>
    </row>
    <row r="27" spans="1:3" x14ac:dyDescent="0.25">
      <c r="A27" s="1">
        <v>205</v>
      </c>
      <c r="B27" s="1">
        <v>16</v>
      </c>
      <c r="C27" s="1">
        <v>1</v>
      </c>
    </row>
    <row r="28" spans="1:3" x14ac:dyDescent="0.25">
      <c r="A28" s="1">
        <v>205</v>
      </c>
      <c r="B28" s="1">
        <v>128</v>
      </c>
      <c r="C28" s="1">
        <v>1</v>
      </c>
    </row>
    <row r="29" spans="1:3" x14ac:dyDescent="0.25">
      <c r="A29" s="1">
        <v>206</v>
      </c>
      <c r="B29" s="1">
        <v>13</v>
      </c>
      <c r="C29" s="1">
        <v>1</v>
      </c>
    </row>
    <row r="30" spans="1:3" x14ac:dyDescent="0.25">
      <c r="A30" s="1">
        <v>206</v>
      </c>
      <c r="B30" s="1">
        <v>108</v>
      </c>
      <c r="C30" s="1">
        <v>1</v>
      </c>
    </row>
    <row r="31" spans="1:3" x14ac:dyDescent="0.25">
      <c r="A31" s="1">
        <v>207</v>
      </c>
      <c r="B31" s="1">
        <v>24</v>
      </c>
      <c r="C31" s="1">
        <v>1</v>
      </c>
    </row>
    <row r="32" spans="1:3" x14ac:dyDescent="0.25">
      <c r="A32" s="1">
        <v>207</v>
      </c>
      <c r="B32" s="1">
        <v>21</v>
      </c>
      <c r="C32" s="1">
        <v>1</v>
      </c>
    </row>
    <row r="33" spans="1:3" x14ac:dyDescent="0.25">
      <c r="A33" s="1">
        <v>207</v>
      </c>
      <c r="B33" s="1">
        <v>107</v>
      </c>
      <c r="C33" s="1">
        <v>1</v>
      </c>
    </row>
    <row r="34" spans="1:3" x14ac:dyDescent="0.25">
      <c r="A34" s="1">
        <v>208</v>
      </c>
      <c r="B34" s="1">
        <v>9</v>
      </c>
      <c r="C34" s="1">
        <v>1</v>
      </c>
    </row>
    <row r="35" spans="1:3" x14ac:dyDescent="0.25">
      <c r="A35" s="1">
        <v>208</v>
      </c>
      <c r="B35" s="1">
        <v>12</v>
      </c>
      <c r="C35" s="1">
        <v>1</v>
      </c>
    </row>
    <row r="36" spans="1:3" x14ac:dyDescent="0.25">
      <c r="A36" s="1">
        <v>208</v>
      </c>
      <c r="B36" s="1">
        <v>108</v>
      </c>
      <c r="C36" s="1">
        <v>1</v>
      </c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</row>
    <row r="41" spans="1:3" x14ac:dyDescent="0.25">
      <c r="A41" s="1"/>
    </row>
    <row r="42" spans="1:3" x14ac:dyDescent="0.25">
      <c r="A42" s="1"/>
    </row>
    <row r="43" spans="1:3" x14ac:dyDescent="0.25">
      <c r="A43" s="1"/>
    </row>
    <row r="44" spans="1:3" x14ac:dyDescent="0.25">
      <c r="A44" s="1"/>
    </row>
    <row r="45" spans="1:3" x14ac:dyDescent="0.25">
      <c r="A45" s="1"/>
    </row>
    <row r="46" spans="1:3" x14ac:dyDescent="0.25">
      <c r="A46" s="1"/>
    </row>
    <row r="47" spans="1:3" x14ac:dyDescent="0.25">
      <c r="A47" s="1"/>
    </row>
    <row r="48" spans="1:3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E33"/>
  <sheetViews>
    <sheetView workbookViewId="0">
      <selection activeCell="C1" sqref="C1"/>
    </sheetView>
  </sheetViews>
  <sheetFormatPr baseColWidth="10" defaultRowHeight="15" x14ac:dyDescent="0.25"/>
  <cols>
    <col min="1" max="1" width="2.42578125" customWidth="1"/>
    <col min="2" max="2" width="3.5703125" customWidth="1"/>
    <col min="3" max="3" width="4.7109375" customWidth="1"/>
    <col min="4" max="4" width="4.85546875" customWidth="1"/>
  </cols>
  <sheetData>
    <row r="1" spans="1:5" x14ac:dyDescent="0.25">
      <c r="A1" t="s">
        <v>0</v>
      </c>
      <c r="B1" t="s">
        <v>275</v>
      </c>
      <c r="C1" t="s">
        <v>276</v>
      </c>
      <c r="D1" t="s">
        <v>277</v>
      </c>
      <c r="E1" t="s">
        <v>278</v>
      </c>
    </row>
    <row r="2" spans="1:5" x14ac:dyDescent="0.25">
      <c r="A2">
        <v>1</v>
      </c>
      <c r="B2" s="1">
        <v>1</v>
      </c>
      <c r="C2" s="1">
        <v>800</v>
      </c>
      <c r="D2" s="1">
        <v>3</v>
      </c>
      <c r="E2" s="2">
        <v>46163</v>
      </c>
    </row>
    <row r="3" spans="1:5" x14ac:dyDescent="0.25">
      <c r="A3">
        <v>1</v>
      </c>
      <c r="B3" s="1">
        <v>2</v>
      </c>
      <c r="C3" s="1">
        <v>801</v>
      </c>
      <c r="D3" s="1">
        <v>8</v>
      </c>
      <c r="E3" s="2">
        <v>46163</v>
      </c>
    </row>
    <row r="4" spans="1:5" x14ac:dyDescent="0.25">
      <c r="A4">
        <v>1</v>
      </c>
      <c r="B4" s="1">
        <v>3</v>
      </c>
      <c r="C4" s="1">
        <v>801</v>
      </c>
      <c r="D4" s="1">
        <v>4</v>
      </c>
      <c r="E4" s="2">
        <v>46164</v>
      </c>
    </row>
    <row r="5" spans="1:5" x14ac:dyDescent="0.25">
      <c r="A5">
        <v>1</v>
      </c>
      <c r="B5" s="1">
        <v>4</v>
      </c>
      <c r="C5" s="1">
        <v>1</v>
      </c>
      <c r="D5" s="1">
        <v>1</v>
      </c>
      <c r="E5" s="2">
        <v>46165</v>
      </c>
    </row>
    <row r="6" spans="1:5" x14ac:dyDescent="0.25">
      <c r="A6">
        <v>1</v>
      </c>
      <c r="B6" s="1">
        <v>5</v>
      </c>
      <c r="C6" s="1">
        <v>1</v>
      </c>
      <c r="D6" s="1">
        <v>1</v>
      </c>
      <c r="E6" s="2">
        <v>46166</v>
      </c>
    </row>
    <row r="7" spans="1:5" x14ac:dyDescent="0.25">
      <c r="A7">
        <v>1</v>
      </c>
      <c r="B7" s="1">
        <v>6</v>
      </c>
      <c r="C7" s="1">
        <v>802</v>
      </c>
      <c r="D7" s="1">
        <v>1</v>
      </c>
      <c r="E7" s="2">
        <v>46166</v>
      </c>
    </row>
    <row r="8" spans="1:5" x14ac:dyDescent="0.25">
      <c r="A8">
        <v>1</v>
      </c>
      <c r="B8" s="1">
        <v>7</v>
      </c>
      <c r="C8" s="1">
        <v>100</v>
      </c>
      <c r="D8" s="1">
        <v>1</v>
      </c>
      <c r="E8" s="2">
        <v>46166</v>
      </c>
    </row>
    <row r="9" spans="1:5" x14ac:dyDescent="0.25">
      <c r="A9">
        <v>1</v>
      </c>
      <c r="B9" s="1">
        <v>8</v>
      </c>
      <c r="C9" s="1">
        <v>1</v>
      </c>
      <c r="D9" s="1">
        <v>1</v>
      </c>
      <c r="E9" s="2">
        <v>46167</v>
      </c>
    </row>
    <row r="10" spans="1:5" x14ac:dyDescent="0.25">
      <c r="A10">
        <v>1</v>
      </c>
      <c r="B10" s="1">
        <v>9</v>
      </c>
      <c r="C10" s="1">
        <v>1</v>
      </c>
      <c r="D10" s="1">
        <v>1</v>
      </c>
      <c r="E10" s="2">
        <v>46168</v>
      </c>
    </row>
    <row r="11" spans="1:5" x14ac:dyDescent="0.25">
      <c r="A11">
        <v>1</v>
      </c>
      <c r="B11" s="1">
        <v>10</v>
      </c>
      <c r="C11" s="1">
        <v>1</v>
      </c>
      <c r="D11" s="1">
        <v>1</v>
      </c>
      <c r="E11" s="2">
        <v>46169</v>
      </c>
    </row>
    <row r="12" spans="1:5" x14ac:dyDescent="0.25">
      <c r="A12">
        <v>1</v>
      </c>
      <c r="B12" s="1">
        <v>11</v>
      </c>
      <c r="C12" s="1">
        <v>1</v>
      </c>
      <c r="D12" s="1">
        <v>1</v>
      </c>
      <c r="E12" s="2">
        <v>46170</v>
      </c>
    </row>
    <row r="13" spans="1:5" x14ac:dyDescent="0.25">
      <c r="A13">
        <v>1</v>
      </c>
      <c r="B13" s="1">
        <v>12</v>
      </c>
      <c r="C13" s="1">
        <v>1</v>
      </c>
      <c r="D13" s="1">
        <v>1</v>
      </c>
      <c r="E13" s="2">
        <v>46171</v>
      </c>
    </row>
    <row r="14" spans="1:5" x14ac:dyDescent="0.25">
      <c r="A14">
        <v>1</v>
      </c>
      <c r="B14" s="1">
        <v>13</v>
      </c>
      <c r="C14" s="1">
        <v>1</v>
      </c>
      <c r="D14" s="1">
        <v>1</v>
      </c>
      <c r="E14" s="2">
        <v>46172</v>
      </c>
    </row>
    <row r="15" spans="1:5" x14ac:dyDescent="0.25">
      <c r="A15">
        <v>1</v>
      </c>
      <c r="B15" s="1">
        <v>14</v>
      </c>
      <c r="C15" s="1">
        <v>1</v>
      </c>
      <c r="D15" s="1">
        <v>1</v>
      </c>
      <c r="E15" s="2">
        <v>46173</v>
      </c>
    </row>
    <row r="16" spans="1:5" x14ac:dyDescent="0.25">
      <c r="A16">
        <v>1</v>
      </c>
      <c r="B16" s="1">
        <v>15</v>
      </c>
      <c r="C16" s="1">
        <v>1</v>
      </c>
      <c r="D16" s="1">
        <v>1</v>
      </c>
      <c r="E16" s="2">
        <v>46174</v>
      </c>
    </row>
    <row r="17" spans="1:5" x14ac:dyDescent="0.25">
      <c r="A17">
        <v>1</v>
      </c>
      <c r="B17" s="1">
        <v>16</v>
      </c>
      <c r="C17" s="1">
        <v>1</v>
      </c>
      <c r="D17" s="1">
        <v>1</v>
      </c>
      <c r="E17" s="2">
        <v>46175</v>
      </c>
    </row>
    <row r="18" spans="1:5" x14ac:dyDescent="0.25">
      <c r="A18">
        <v>1</v>
      </c>
      <c r="B18" s="1">
        <v>17</v>
      </c>
      <c r="C18" s="1">
        <v>1</v>
      </c>
      <c r="D18" s="1">
        <v>1</v>
      </c>
      <c r="E18" s="2">
        <v>46176</v>
      </c>
    </row>
    <row r="19" spans="1:5" x14ac:dyDescent="0.25">
      <c r="A19">
        <v>1</v>
      </c>
      <c r="B19" s="1">
        <v>18</v>
      </c>
      <c r="C19" s="1">
        <v>1</v>
      </c>
      <c r="D19" s="1">
        <v>1</v>
      </c>
      <c r="E19" s="2">
        <v>46177</v>
      </c>
    </row>
    <row r="20" spans="1:5" x14ac:dyDescent="0.25">
      <c r="A20">
        <v>1</v>
      </c>
      <c r="B20" s="1">
        <v>19</v>
      </c>
      <c r="C20" s="1">
        <v>1</v>
      </c>
      <c r="D20" s="1">
        <v>1</v>
      </c>
      <c r="E20" s="2">
        <v>46178</v>
      </c>
    </row>
    <row r="21" spans="1:5" x14ac:dyDescent="0.25">
      <c r="A21">
        <v>1</v>
      </c>
      <c r="B21" s="1">
        <v>20</v>
      </c>
      <c r="C21" s="1">
        <v>1</v>
      </c>
      <c r="D21" s="1">
        <v>1</v>
      </c>
      <c r="E21" s="2">
        <v>46179</v>
      </c>
    </row>
    <row r="22" spans="1:5" x14ac:dyDescent="0.25">
      <c r="A22">
        <v>1</v>
      </c>
      <c r="B22" s="1">
        <v>21</v>
      </c>
      <c r="C22" s="1">
        <v>1</v>
      </c>
      <c r="D22" s="1">
        <v>1</v>
      </c>
      <c r="E22" s="2">
        <v>46180</v>
      </c>
    </row>
    <row r="23" spans="1:5" x14ac:dyDescent="0.25">
      <c r="A23">
        <v>1</v>
      </c>
      <c r="B23" s="1">
        <v>22</v>
      </c>
      <c r="C23" s="1">
        <v>1</v>
      </c>
      <c r="D23" s="1">
        <v>1</v>
      </c>
      <c r="E23" s="2">
        <v>46181</v>
      </c>
    </row>
    <row r="24" spans="1:5" x14ac:dyDescent="0.25">
      <c r="A24">
        <v>0</v>
      </c>
      <c r="B24" s="1">
        <v>23</v>
      </c>
      <c r="C24" s="1">
        <v>1</v>
      </c>
      <c r="D24" s="1">
        <v>1</v>
      </c>
      <c r="E24" s="2">
        <v>46182</v>
      </c>
    </row>
    <row r="25" spans="1:5" x14ac:dyDescent="0.25">
      <c r="A25">
        <v>0</v>
      </c>
      <c r="B25" s="1">
        <v>24</v>
      </c>
      <c r="C25" s="1">
        <v>1</v>
      </c>
      <c r="D25" s="1">
        <v>1</v>
      </c>
      <c r="E25" s="2">
        <v>46183</v>
      </c>
    </row>
    <row r="26" spans="1:5" x14ac:dyDescent="0.25">
      <c r="A26">
        <v>0</v>
      </c>
      <c r="B26" s="1">
        <v>25</v>
      </c>
      <c r="C26" s="1">
        <v>1</v>
      </c>
      <c r="D26" s="1">
        <v>1</v>
      </c>
      <c r="E26" s="2">
        <v>46184</v>
      </c>
    </row>
    <row r="27" spans="1:5" x14ac:dyDescent="0.25">
      <c r="A27">
        <v>0</v>
      </c>
      <c r="B27" s="1">
        <v>26</v>
      </c>
      <c r="C27" s="1">
        <v>1</v>
      </c>
      <c r="D27" s="1">
        <v>1</v>
      </c>
      <c r="E27" s="2">
        <v>46185</v>
      </c>
    </row>
    <row r="28" spans="1:5" x14ac:dyDescent="0.25">
      <c r="A28">
        <v>0</v>
      </c>
      <c r="B28" s="1">
        <v>27</v>
      </c>
      <c r="C28" s="1">
        <v>1</v>
      </c>
      <c r="D28" s="1">
        <v>1</v>
      </c>
      <c r="E28" s="2">
        <v>46186</v>
      </c>
    </row>
    <row r="29" spans="1:5" x14ac:dyDescent="0.25">
      <c r="A29">
        <v>0</v>
      </c>
      <c r="B29" s="1">
        <v>28</v>
      </c>
      <c r="C29" s="1">
        <v>1</v>
      </c>
      <c r="D29" s="1">
        <v>1</v>
      </c>
      <c r="E29" s="2">
        <v>46187</v>
      </c>
    </row>
    <row r="30" spans="1:5" x14ac:dyDescent="0.25">
      <c r="A30">
        <v>0</v>
      </c>
      <c r="B30" s="1">
        <v>29</v>
      </c>
      <c r="C30" s="1">
        <v>1</v>
      </c>
      <c r="D30" s="1">
        <v>1</v>
      </c>
      <c r="E30" s="2">
        <v>46188</v>
      </c>
    </row>
    <row r="31" spans="1:5" x14ac:dyDescent="0.25">
      <c r="A31">
        <v>0</v>
      </c>
      <c r="B31" s="1">
        <v>30</v>
      </c>
      <c r="C31" s="1">
        <v>1</v>
      </c>
      <c r="D31" s="1">
        <v>1</v>
      </c>
      <c r="E31" s="2">
        <v>46189</v>
      </c>
    </row>
    <row r="32" spans="1:5" x14ac:dyDescent="0.25">
      <c r="A32">
        <v>0</v>
      </c>
      <c r="B32" s="1">
        <v>31</v>
      </c>
      <c r="C32" s="1">
        <v>1</v>
      </c>
      <c r="D32" s="1">
        <v>1</v>
      </c>
      <c r="E32" s="2">
        <v>46190</v>
      </c>
    </row>
    <row r="33" spans="1:5" x14ac:dyDescent="0.25">
      <c r="A33">
        <v>0</v>
      </c>
      <c r="B33" s="1">
        <v>32</v>
      </c>
      <c r="C33" s="1">
        <v>1</v>
      </c>
      <c r="D33" s="1">
        <v>1</v>
      </c>
      <c r="E33" s="2">
        <v>46191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24"/>
  <sheetViews>
    <sheetView workbookViewId="0">
      <selection activeCell="E15" sqref="E15"/>
    </sheetView>
  </sheetViews>
  <sheetFormatPr baseColWidth="10" defaultRowHeight="15" x14ac:dyDescent="0.25"/>
  <cols>
    <col min="1" max="1" width="5.28515625" customWidth="1"/>
    <col min="2" max="2" width="12" customWidth="1"/>
  </cols>
  <sheetData>
    <row r="1" spans="1:2" x14ac:dyDescent="0.25">
      <c r="A1" t="s">
        <v>158</v>
      </c>
      <c r="B1" t="s">
        <v>232</v>
      </c>
    </row>
    <row r="2" spans="1:2" x14ac:dyDescent="0.25">
      <c r="A2" s="1">
        <v>1</v>
      </c>
      <c r="B2" s="1" t="s">
        <v>40</v>
      </c>
    </row>
    <row r="3" spans="1:2" x14ac:dyDescent="0.25">
      <c r="A3" s="1">
        <v>2</v>
      </c>
      <c r="B3" s="1" t="s">
        <v>41</v>
      </c>
    </row>
    <row r="4" spans="1:2" x14ac:dyDescent="0.25">
      <c r="A4" s="1">
        <v>3</v>
      </c>
      <c r="B4" s="1" t="s">
        <v>139</v>
      </c>
    </row>
    <row r="5" spans="1:2" x14ac:dyDescent="0.25">
      <c r="A5" s="1">
        <v>10</v>
      </c>
      <c r="B5" s="1" t="s">
        <v>10</v>
      </c>
    </row>
    <row r="6" spans="1:2" x14ac:dyDescent="0.25">
      <c r="A6" s="1">
        <v>11</v>
      </c>
      <c r="B6" s="1" t="s">
        <v>19</v>
      </c>
    </row>
    <row r="7" spans="1:2" x14ac:dyDescent="0.25">
      <c r="A7" s="1">
        <v>101</v>
      </c>
      <c r="B7" s="1" t="s">
        <v>35</v>
      </c>
    </row>
    <row r="8" spans="1:2" x14ac:dyDescent="0.25">
      <c r="A8" s="1">
        <v>102</v>
      </c>
      <c r="B8" s="1" t="s">
        <v>36</v>
      </c>
    </row>
    <row r="9" spans="1:2" x14ac:dyDescent="0.25">
      <c r="A9" s="1">
        <v>103</v>
      </c>
      <c r="B9" s="1" t="s">
        <v>37</v>
      </c>
    </row>
    <row r="10" spans="1:2" x14ac:dyDescent="0.25">
      <c r="A10" s="1">
        <v>200</v>
      </c>
      <c r="B10" s="1" t="s">
        <v>287</v>
      </c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E2"/>
  <sheetViews>
    <sheetView workbookViewId="0">
      <selection activeCell="A2" sqref="A2"/>
    </sheetView>
  </sheetViews>
  <sheetFormatPr baseColWidth="10" defaultRowHeight="15" x14ac:dyDescent="0.25"/>
  <cols>
    <col min="1" max="1" width="3.85546875" style="1" customWidth="1"/>
    <col min="2" max="2" width="9.42578125" style="1" customWidth="1"/>
    <col min="3" max="4" width="12" style="1" customWidth="1"/>
  </cols>
  <sheetData>
    <row r="1" spans="1:5" x14ac:dyDescent="0.25">
      <c r="A1" t="s">
        <v>0</v>
      </c>
      <c r="B1" t="s">
        <v>279</v>
      </c>
      <c r="C1" t="s">
        <v>280</v>
      </c>
      <c r="D1" t="s">
        <v>281</v>
      </c>
      <c r="E1" t="s">
        <v>282</v>
      </c>
    </row>
    <row r="2" spans="1:5" x14ac:dyDescent="0.25">
      <c r="A2" s="1">
        <v>1</v>
      </c>
      <c r="B2" s="1">
        <v>1</v>
      </c>
      <c r="C2" s="1">
        <v>200</v>
      </c>
      <c r="D2" s="1">
        <v>23</v>
      </c>
      <c r="E2" s="2">
        <v>46179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E2"/>
  <sheetViews>
    <sheetView workbookViewId="0">
      <selection activeCell="A2" sqref="A2"/>
    </sheetView>
  </sheetViews>
  <sheetFormatPr baseColWidth="10" defaultRowHeight="15" x14ac:dyDescent="0.25"/>
  <cols>
    <col min="1" max="1" width="4.140625" style="1" customWidth="1"/>
    <col min="2" max="2" width="8" style="1" customWidth="1"/>
    <col min="3" max="3" width="8.5703125" style="1" customWidth="1"/>
    <col min="4" max="5" width="12" style="1" customWidth="1"/>
  </cols>
  <sheetData>
    <row r="1" spans="1:5" x14ac:dyDescent="0.25">
      <c r="A1" t="s">
        <v>0</v>
      </c>
      <c r="B1" t="s">
        <v>283</v>
      </c>
      <c r="C1" t="s">
        <v>284</v>
      </c>
      <c r="D1" t="s">
        <v>285</v>
      </c>
      <c r="E1" t="s">
        <v>286</v>
      </c>
    </row>
    <row r="2" spans="1:5" x14ac:dyDescent="0.25">
      <c r="A2" s="1">
        <v>1</v>
      </c>
      <c r="B2" s="1">
        <v>1</v>
      </c>
      <c r="C2" s="1">
        <v>1</v>
      </c>
      <c r="D2" s="1">
        <v>103</v>
      </c>
      <c r="E2" s="1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r_recoleccion</vt:lpstr>
      <vt:lpstr>d_tipo_recoleccion</vt:lpstr>
      <vt:lpstr>r_consumos_objectos</vt:lpstr>
      <vt:lpstr>d_id_objectos</vt:lpstr>
      <vt:lpstr>r_gasto</vt:lpstr>
      <vt:lpstr>r_registro_poblacion</vt:lpstr>
      <vt:lpstr>r_prospeccion_lotes</vt:lpstr>
      <vt:lpstr>r_prospeccion_resultados</vt:lpstr>
      <vt:lpstr>r_gemas_pulidas</vt:lpstr>
      <vt:lpstr>d_gemas_atributos</vt:lpstr>
      <vt:lpstr>r_consumo_lotes</vt:lpstr>
      <vt:lpstr>r_venta_gemas</vt:lpstr>
      <vt:lpstr>d_venta_estado</vt:lpstr>
      <vt:lpstr>d_venta_metodo</vt:lpstr>
      <vt:lpstr>d_gema_valor</vt:lpstr>
      <vt:lpstr>r_valor_subasta</vt:lpstr>
      <vt:lpstr>d_deposito</vt:lpstr>
      <vt:lpstr>d_correo</vt:lpstr>
      <vt:lpstr>d_convertibilidad</vt:lpstr>
      <vt:lpstr>d_recetas_id</vt:lpstr>
      <vt:lpstr>d_recetas_materiales</vt:lpstr>
      <vt:lpstr>r_recetas_consumo</vt:lpstr>
      <vt:lpstr>d_categoria_producto</vt:lpstr>
      <vt:lpstr>r_transmutaciones</vt:lpstr>
      <vt:lpstr>r_transmutaciones_resultados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2026-07-14T19:29:44Z</dcterms:modified>
</cp:coreProperties>
</file>